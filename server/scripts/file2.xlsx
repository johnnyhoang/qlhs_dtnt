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IEN\NĂM HỌC 2025-2026\HOC BONG\"/>
    </mc:Choice>
  </mc:AlternateContent>
  <bookViews>
    <workbookView xWindow="-105" yWindow="-105" windowWidth="19425" windowHeight="10305" firstSheet="1" activeTab="5"/>
  </bookViews>
  <sheets>
    <sheet name="Kangatang" sheetId="4" state="veryHidden" r:id="rId1"/>
    <sheet name="bang ho tro tien xe" sheetId="3" r:id="rId2"/>
    <sheet name="Sheet2" sheetId="2" r:id="rId3"/>
    <sheet name="Sheet1" sheetId="1" r:id="rId4"/>
    <sheet name="Sheet3" sheetId="5" r:id="rId5"/>
    <sheet name="Sheet4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F4" i="6"/>
  <c r="E646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I80" i="1" l="1"/>
  <c r="I73" i="1"/>
  <c r="I75" i="1"/>
  <c r="I70" i="1"/>
  <c r="I68" i="1"/>
  <c r="I60" i="1"/>
  <c r="I53" i="1"/>
  <c r="I50" i="1"/>
  <c r="I46" i="1"/>
  <c r="I41" i="1"/>
  <c r="I33" i="1"/>
  <c r="I28" i="1"/>
  <c r="I26" i="1"/>
  <c r="I24" i="1"/>
  <c r="I20" i="1"/>
  <c r="I17" i="1"/>
  <c r="I9" i="1"/>
  <c r="I77" i="1"/>
  <c r="I65" i="1"/>
  <c r="I62" i="1"/>
  <c r="I57" i="1"/>
  <c r="I48" i="1"/>
  <c r="I43" i="1"/>
  <c r="I38" i="1"/>
  <c r="I30" i="1"/>
  <c r="I4" i="1"/>
  <c r="I14" i="1"/>
  <c r="I11" i="1"/>
  <c r="I6" i="1"/>
  <c r="G13" i="2"/>
  <c r="F13" i="2"/>
  <c r="H13" i="2" s="1"/>
  <c r="F10" i="2"/>
  <c r="G10" i="2" s="1"/>
  <c r="F8" i="2"/>
  <c r="H8" i="2" s="1"/>
  <c r="F5" i="2"/>
  <c r="G5" i="2" s="1"/>
  <c r="F2" i="2"/>
  <c r="G2" i="2" s="1"/>
  <c r="F52" i="1"/>
  <c r="H52" i="1" s="1"/>
  <c r="F69" i="1"/>
  <c r="H69" i="1" s="1"/>
  <c r="F67" i="1"/>
  <c r="H67" i="1" s="1"/>
  <c r="F64" i="1"/>
  <c r="H64" i="1" s="1"/>
  <c r="F61" i="1"/>
  <c r="G61" i="1" s="1"/>
  <c r="F59" i="1"/>
  <c r="H59" i="1" s="1"/>
  <c r="F56" i="1"/>
  <c r="G56" i="1" s="1"/>
  <c r="F79" i="1"/>
  <c r="G79" i="1" s="1"/>
  <c r="F76" i="1"/>
  <c r="G76" i="1" s="1"/>
  <c r="F74" i="1"/>
  <c r="H74" i="1" s="1"/>
  <c r="F72" i="1"/>
  <c r="G72" i="1" s="1"/>
  <c r="F45" i="1"/>
  <c r="H45" i="1" s="1"/>
  <c r="F47" i="1"/>
  <c r="H47" i="1" s="1"/>
  <c r="G50" i="1"/>
  <c r="H50" i="1"/>
  <c r="F42" i="1"/>
  <c r="H42" i="1" s="1"/>
  <c r="F40" i="1"/>
  <c r="G40" i="1" s="1"/>
  <c r="F37" i="1"/>
  <c r="H37" i="1" s="1"/>
  <c r="F32" i="1"/>
  <c r="H32" i="1" s="1"/>
  <c r="F29" i="1"/>
  <c r="G29" i="1" s="1"/>
  <c r="F19" i="1"/>
  <c r="H19" i="1" s="1"/>
  <c r="F27" i="1"/>
  <c r="G27" i="1" s="1"/>
  <c r="F25" i="1"/>
  <c r="H25" i="1" s="1"/>
  <c r="F23" i="1"/>
  <c r="G23" i="1" s="1"/>
  <c r="H6" i="1"/>
  <c r="G6" i="1"/>
  <c r="H5" i="2" l="1"/>
  <c r="H2" i="2"/>
  <c r="G8" i="2"/>
  <c r="H10" i="2"/>
  <c r="G64" i="1"/>
  <c r="G69" i="1"/>
  <c r="G67" i="1"/>
  <c r="H61" i="1"/>
  <c r="G59" i="1"/>
  <c r="H56" i="1"/>
  <c r="G52" i="1"/>
  <c r="H79" i="1"/>
  <c r="H76" i="1"/>
  <c r="H72" i="1"/>
  <c r="G74" i="1"/>
  <c r="G47" i="1"/>
  <c r="G45" i="1"/>
  <c r="G37" i="1"/>
  <c r="H40" i="1"/>
  <c r="G42" i="1"/>
  <c r="H29" i="1"/>
  <c r="G32" i="1"/>
  <c r="H27" i="1"/>
  <c r="G19" i="1"/>
  <c r="G25" i="1"/>
  <c r="H23" i="1"/>
  <c r="F16" i="1"/>
  <c r="F13" i="1"/>
  <c r="F8" i="1"/>
  <c r="H8" i="1" s="1"/>
  <c r="F10" i="1"/>
  <c r="F3" i="1"/>
  <c r="H3" i="1" s="1"/>
  <c r="H13" i="1" l="1"/>
  <c r="G13" i="1"/>
  <c r="G8" i="1"/>
  <c r="G10" i="1"/>
  <c r="H10" i="1"/>
  <c r="G16" i="1"/>
  <c r="H16" i="1"/>
  <c r="G3" i="1"/>
</calcChain>
</file>

<file path=xl/sharedStrings.xml><?xml version="1.0" encoding="utf-8"?>
<sst xmlns="http://schemas.openxmlformats.org/spreadsheetml/2006/main" count="2208" uniqueCount="844">
  <si>
    <t>Số tiền</t>
  </si>
  <si>
    <t>1.Địa bàn huyện Lạc Dương cũ</t>
  </si>
  <si>
    <r>
      <t xml:space="preserve"> Đạ Sar</t>
    </r>
    <r>
      <rPr>
        <sz val="14"/>
        <color theme="1"/>
        <rFont val="Times New Roman"/>
        <family val="1"/>
      </rPr>
      <t>, Lạc Dương</t>
    </r>
  </si>
  <si>
    <t>Xã Lạc Dương</t>
  </si>
  <si>
    <r>
      <t xml:space="preserve"> </t>
    </r>
    <r>
      <rPr>
        <sz val="14"/>
        <color rgb="FFFF0000"/>
        <rFont val="Times New Roman"/>
        <family val="1"/>
      </rPr>
      <t>Đạ Chais</t>
    </r>
    <r>
      <rPr>
        <sz val="14"/>
        <color theme="1"/>
        <rFont val="Times New Roman"/>
        <family val="1"/>
      </rPr>
      <t>, Lạc Dương</t>
    </r>
  </si>
  <si>
    <r>
      <t xml:space="preserve"> </t>
    </r>
    <r>
      <rPr>
        <sz val="14"/>
        <color rgb="FFFF0000"/>
        <rFont val="Times New Roman"/>
        <family val="1"/>
      </rPr>
      <t>Đạ Nhim</t>
    </r>
    <r>
      <rPr>
        <sz val="14"/>
        <color theme="1"/>
        <rFont val="Times New Roman"/>
        <family val="1"/>
      </rPr>
      <t>, Lạc Dương</t>
    </r>
  </si>
  <si>
    <t xml:space="preserve"> Xã Lát, Lạc Dương</t>
  </si>
  <si>
    <t>2.Địa bàn huyện Đơn Dương cũ</t>
  </si>
  <si>
    <t xml:space="preserve">Tân Thanh, Lâm Hà </t>
  </si>
  <si>
    <t>Đạ Đờn, Lâm Hà</t>
  </si>
  <si>
    <t>Tân Văn - Lâm Hà</t>
  </si>
  <si>
    <t>4.Địa bàn huyện Đức Trọng cũ</t>
  </si>
  <si>
    <t xml:space="preserve"> N' Thôl Hạ, Đức Trọng</t>
  </si>
  <si>
    <t>Đa Quyn, Đức Trọng</t>
  </si>
  <si>
    <t>Ninh Gia, Đức Trọng</t>
  </si>
  <si>
    <t>5.Địa bàn huyện Di Linh cũ</t>
  </si>
  <si>
    <t>Tân Lâm, Di Linh</t>
  </si>
  <si>
    <t>Tân Nghĩa, Di Linh</t>
  </si>
  <si>
    <t>Tam Bố, Di Linh</t>
  </si>
  <si>
    <t>Đinh Trang Hòa - Di Linh</t>
  </si>
  <si>
    <t>6.Địa bàn huyện Đam Rông cũ</t>
  </si>
  <si>
    <t>Đạ K' Nàng, Đam Rông</t>
  </si>
  <si>
    <t>Rô Men, Đam Rông</t>
  </si>
  <si>
    <t>Đạ M'rông, Đam Rông</t>
  </si>
  <si>
    <t>Đạ Rsal, Đam Rông</t>
  </si>
  <si>
    <t>Đạ Long,  Đam Rông</t>
  </si>
  <si>
    <t>7.Địa bàn khác</t>
  </si>
  <si>
    <t>Quảng Thành - Gia Nghĩa - Đăk Nông cũ</t>
  </si>
  <si>
    <t xml:space="preserve">Phường LangBiang </t>
  </si>
  <si>
    <t>Xã Ka Đô</t>
  </si>
  <si>
    <r>
      <rPr>
        <sz val="14"/>
        <color theme="8" tint="-0.249977111117893"/>
        <rFont val="Times New Roman"/>
        <family val="1"/>
      </rPr>
      <t>Lạc Lâm,</t>
    </r>
    <r>
      <rPr>
        <sz val="14"/>
        <color theme="1"/>
        <rFont val="Times New Roman"/>
        <family val="1"/>
      </rPr>
      <t xml:space="preserve"> Đơn Dương</t>
    </r>
  </si>
  <si>
    <t xml:space="preserve">Xã, huyện cũ </t>
  </si>
  <si>
    <t>Xã, huyện mới</t>
  </si>
  <si>
    <r>
      <rPr>
        <sz val="14"/>
        <color theme="8" tint="-0.249977111117893"/>
        <rFont val="Times New Roman"/>
        <family val="1"/>
      </rPr>
      <t>Ka Đô,</t>
    </r>
    <r>
      <rPr>
        <sz val="14"/>
        <color theme="1"/>
        <rFont val="Times New Roman"/>
        <family val="1"/>
      </rPr>
      <t xml:space="preserve"> Đơn Dương</t>
    </r>
  </si>
  <si>
    <r>
      <rPr>
        <sz val="14"/>
        <color theme="5" tint="-0.499984740745262"/>
        <rFont val="Times New Roman"/>
        <family val="1"/>
      </rPr>
      <t>Đạ Ròn</t>
    </r>
    <r>
      <rPr>
        <sz val="14"/>
        <color theme="1"/>
        <rFont val="Times New Roman"/>
        <family val="1"/>
      </rPr>
      <t>, Đơn Dương</t>
    </r>
  </si>
  <si>
    <r>
      <rPr>
        <sz val="14"/>
        <color theme="5" tint="-0.499984740745262"/>
        <rFont val="Times New Roman"/>
        <family val="1"/>
      </rPr>
      <t>Thạnh Mỹ</t>
    </r>
    <r>
      <rPr>
        <sz val="14"/>
        <color theme="1"/>
        <rFont val="Times New Roman"/>
        <family val="1"/>
      </rPr>
      <t>, Đơn Dương</t>
    </r>
  </si>
  <si>
    <r>
      <rPr>
        <sz val="14"/>
        <color theme="5" tint="-0.499984740745262"/>
        <rFont val="Times New Roman"/>
        <family val="1"/>
      </rPr>
      <t>Tu Tra</t>
    </r>
    <r>
      <rPr>
        <sz val="14"/>
        <color theme="1"/>
        <rFont val="Times New Roman"/>
        <family val="1"/>
      </rPr>
      <t>, Đơn Dương</t>
    </r>
  </si>
  <si>
    <t>Xã Đơn Dương</t>
  </si>
  <si>
    <r>
      <rPr>
        <sz val="14"/>
        <color theme="9" tint="-0.499984740745262"/>
        <rFont val="Times New Roman"/>
        <family val="1"/>
      </rPr>
      <t>Ka Đơn</t>
    </r>
    <r>
      <rPr>
        <sz val="14"/>
        <color theme="1"/>
        <rFont val="Times New Roman"/>
        <family val="1"/>
      </rPr>
      <t>, Đơn Dương</t>
    </r>
  </si>
  <si>
    <r>
      <rPr>
        <sz val="14"/>
        <color theme="9" tint="-0.499984740745262"/>
        <rFont val="Times New Roman"/>
        <family val="1"/>
      </rPr>
      <t>Quảng Lập</t>
    </r>
    <r>
      <rPr>
        <sz val="14"/>
        <color theme="1"/>
        <rFont val="Times New Roman"/>
        <family val="1"/>
      </rPr>
      <t>, Đơn Dương</t>
    </r>
  </si>
  <si>
    <t>Xã Quảng Lập</t>
  </si>
  <si>
    <t>Xã D'ran</t>
  </si>
  <si>
    <r>
      <rPr>
        <sz val="14"/>
        <color theme="9" tint="-0.499984740745262"/>
        <rFont val="Times New Roman"/>
        <family val="1"/>
      </rPr>
      <t>Pró(Quảng Lập)</t>
    </r>
    <r>
      <rPr>
        <sz val="14"/>
        <color theme="1"/>
        <rFont val="Times New Roman"/>
        <family val="1"/>
      </rPr>
      <t>, Đơn Dương</t>
    </r>
  </si>
  <si>
    <r>
      <rPr>
        <sz val="14"/>
        <color theme="7" tint="-0.499984740745262"/>
        <rFont val="Times New Roman"/>
        <family val="1"/>
      </rPr>
      <t>Lạc Xuân,</t>
    </r>
    <r>
      <rPr>
        <sz val="14"/>
        <color theme="1"/>
        <rFont val="Times New Roman"/>
        <family val="1"/>
      </rPr>
      <t xml:space="preserve"> Đơn Dương</t>
    </r>
  </si>
  <si>
    <r>
      <rPr>
        <sz val="14"/>
        <color theme="7" tint="-0.499984740745262"/>
        <rFont val="Times New Roman"/>
        <family val="1"/>
      </rPr>
      <t>D'ran,</t>
    </r>
    <r>
      <rPr>
        <sz val="14"/>
        <color theme="1"/>
        <rFont val="Times New Roman"/>
        <family val="1"/>
      </rPr>
      <t xml:space="preserve"> Đơn Dương</t>
    </r>
  </si>
  <si>
    <t>Liên Hà, Lâm Hà</t>
  </si>
  <si>
    <t>Đan Phượng, Lâm Hà</t>
  </si>
  <si>
    <t>Hoài Đức, Lâm Hà</t>
  </si>
  <si>
    <t>Tân Hà, Lâm Hà</t>
  </si>
  <si>
    <t>Xã Tân Hà</t>
  </si>
  <si>
    <t>Xã Phúc Thọ</t>
  </si>
  <si>
    <t>Phú Sơn, Lâm Hà</t>
  </si>
  <si>
    <t>Xã Phú Sơn</t>
  </si>
  <si>
    <t>Đinh Văn, Lâm Hà</t>
  </si>
  <si>
    <t>Phi Tô, Lâm Hà</t>
  </si>
  <si>
    <t>Nam Hà - Lâm Hà</t>
  </si>
  <si>
    <t>Xã Nam Hà</t>
  </si>
  <si>
    <t>Bình Thạnh, Lâm Hà</t>
  </si>
  <si>
    <t>Phúc Thọ, Lâm Hà</t>
  </si>
  <si>
    <t>Xã Đinh Văn</t>
  </si>
  <si>
    <t>Nam Ban, Lâm Hà</t>
  </si>
  <si>
    <t>Đông Thanh, Lâm Hà</t>
  </si>
  <si>
    <t>Mê Linh, Lâm Hà</t>
  </si>
  <si>
    <t>Gia Lâm, Lâm Hà</t>
  </si>
  <si>
    <t>3. Địa bàn huyện Lâm Hà cũ</t>
  </si>
  <si>
    <t>Xã Nam Ban</t>
  </si>
  <si>
    <t>Hiệp Thạnh, Đức Trọng</t>
  </si>
  <si>
    <t>Hiệp An, Đức Trọng</t>
  </si>
  <si>
    <t>Liên Hiệp, Đức Trọng</t>
  </si>
  <si>
    <t>Xã Hiệp Thạnh</t>
  </si>
  <si>
    <t>Liên Nghĩa, Đức Trọng</t>
  </si>
  <si>
    <t>Phú Hội, Đức Trọng</t>
  </si>
  <si>
    <t>Xã Đức Trọng</t>
  </si>
  <si>
    <t>Tân Hội, Đức Trọng</t>
  </si>
  <si>
    <t>Tân Thành, Đức Trọng</t>
  </si>
  <si>
    <t>Xã Tân Hội</t>
  </si>
  <si>
    <r>
      <t xml:space="preserve">số tiền
</t>
    </r>
    <r>
      <rPr>
        <sz val="14"/>
        <color theme="1"/>
        <rFont val="Times New Roman"/>
        <family val="1"/>
      </rPr>
      <t>đồng/km</t>
    </r>
  </si>
  <si>
    <t>Tà Hine, Đức Trọng</t>
  </si>
  <si>
    <t>Đà Loan, Đức Trọng</t>
  </si>
  <si>
    <t>Ninh Loan, Đức Trọng</t>
  </si>
  <si>
    <t>Xã Tà Hine</t>
  </si>
  <si>
    <t>Tà Năng, Đức Trọng</t>
  </si>
  <si>
    <t>Xã Tà Năng</t>
  </si>
  <si>
    <t>Tân Châu, Di Linh</t>
  </si>
  <si>
    <t>Gung Ré, Di Linh</t>
  </si>
  <si>
    <t>Bảo Thuận, Di Linh</t>
  </si>
  <si>
    <t>Gia Bắc, Di Linh</t>
  </si>
  <si>
    <t>Liên Đầm, Di Linh</t>
  </si>
  <si>
    <t>Sơn Điền - Di Linh</t>
  </si>
  <si>
    <t>Đinh Lạc, Di Linh</t>
  </si>
  <si>
    <t>Tân Thượng, Di Linh</t>
  </si>
  <si>
    <t>Hòa Bắc, Di Linh</t>
  </si>
  <si>
    <t>Liêng Srônh, Đam Rông</t>
  </si>
  <si>
    <t>Phi Liêng, Đam Rông</t>
  </si>
  <si>
    <t>Đạ Tông, Đam Rông</t>
  </si>
  <si>
    <t>Đưng K' Nớ, Lạc Dương</t>
  </si>
  <si>
    <t>Xã Đam Rông 1</t>
  </si>
  <si>
    <t>Xã Đam Rông 2</t>
  </si>
  <si>
    <t>Xã Đam Rông 4</t>
  </si>
  <si>
    <t>Xã Đam Rông 3</t>
  </si>
  <si>
    <t>tt Di Linh, Di Linh</t>
  </si>
  <si>
    <t>Xã Di Linh</t>
  </si>
  <si>
    <t>Hòa Ninh, Di Linh</t>
  </si>
  <si>
    <t>Hòa Trung, Di Linh</t>
  </si>
  <si>
    <t>Xã Hòa Ninh</t>
  </si>
  <si>
    <t>Hòa Nam, Di Linh</t>
  </si>
  <si>
    <t>Xã Hòa Bắc</t>
  </si>
  <si>
    <t>Đinh Trang Thượng, Di Linh</t>
  </si>
  <si>
    <t>Xã Đinh Trang
Thượng</t>
  </si>
  <si>
    <t>Xã Bảo Thuận</t>
  </si>
  <si>
    <t>Xã Sơn Điền</t>
  </si>
  <si>
    <t>Gia Hiệp, Di Linh</t>
  </si>
  <si>
    <t>Xã Gia Hiệp</t>
  </si>
  <si>
    <t>Lộc Thắng, Bảo Lâm</t>
  </si>
  <si>
    <t>Lộc Quảng, Bảo Lâm</t>
  </si>
  <si>
    <t>Lộc Ngãi, Bảo Lâm</t>
  </si>
  <si>
    <t>Xã Bảo Lâm 1</t>
  </si>
  <si>
    <t>Lộc An, Bảo Lâm</t>
  </si>
  <si>
    <t>Lộc Đức, Bảo Lâm</t>
  </si>
  <si>
    <t>Tân Lạc, Bảo Lâm</t>
  </si>
  <si>
    <t>Xã Bảo Lâm 2</t>
  </si>
  <si>
    <t>Lộc Thành, Bảo Lâm</t>
  </si>
  <si>
    <t>Lộc Nam, Bảo Lâm</t>
  </si>
  <si>
    <t>Xã Bảo Lâm 3</t>
  </si>
  <si>
    <t>Lộc Bảo, Bảo Lâm</t>
  </si>
  <si>
    <t>Lộc Bắc, Bảo Lâm</t>
  </si>
  <si>
    <t>Xã Bảo Lâm 4</t>
  </si>
  <si>
    <t>Lộc Phú, Bảo Lâm</t>
  </si>
  <si>
    <t>Lộc Lâm, Bảo Lâm</t>
  </si>
  <si>
    <t>B'Lá, Bảo Lâm</t>
  </si>
  <si>
    <t>Xã Bảo Lâm 5</t>
  </si>
  <si>
    <r>
      <rPr>
        <b/>
        <sz val="14"/>
        <color theme="1"/>
        <rFont val="Times New Roman"/>
        <family val="1"/>
      </rPr>
      <t>số tiền xăng</t>
    </r>
    <r>
      <rPr>
        <sz val="14"/>
        <color theme="1"/>
        <rFont val="Times New Roman"/>
        <family val="2"/>
      </rPr>
      <t xml:space="preserve">
0,2 l/km</t>
    </r>
  </si>
  <si>
    <t>mức chi 
cũ</t>
  </si>
  <si>
    <t>Km
trung 
bình</t>
  </si>
  <si>
    <t>Số
km</t>
  </si>
  <si>
    <t>QUY ĐỊNH</t>
  </si>
  <si>
    <t>Định mức hỗ trợ tiền xe về địa phương sau sáp nhập</t>
  </si>
  <si>
    <t>Xã Đinh Trang 
Thượng</t>
  </si>
  <si>
    <t>TRƯỜNG PTDTNT THCS-THPT TỈNH LÂM ĐỒNG</t>
  </si>
  <si>
    <t>Ghi chú</t>
  </si>
  <si>
    <t>Ninh Gia</t>
  </si>
  <si>
    <t>Bảo Thuận</t>
  </si>
  <si>
    <t>Di Linh</t>
  </si>
  <si>
    <t>D'ran</t>
  </si>
  <si>
    <t>Đam Rông 1</t>
  </si>
  <si>
    <t>Đam Rông 2</t>
  </si>
  <si>
    <t>Đam Rông 3</t>
  </si>
  <si>
    <t>Đam Rông 4</t>
  </si>
  <si>
    <t>Đinh Văn</t>
  </si>
  <si>
    <t>Đơn Dương</t>
  </si>
  <si>
    <t>Đức Trọng</t>
  </si>
  <si>
    <t>Gia Hiệp</t>
  </si>
  <si>
    <t>Hiệp Thạnh</t>
  </si>
  <si>
    <t>Hòa Bắc</t>
  </si>
  <si>
    <t>Hòa Ninh</t>
  </si>
  <si>
    <t>Ka Đô</t>
  </si>
  <si>
    <t>Lạc Dương</t>
  </si>
  <si>
    <t>Nam Ban</t>
  </si>
  <si>
    <t>Nam Hà</t>
  </si>
  <si>
    <t>Phú Sơn</t>
  </si>
  <si>
    <t>Phúc Thọ</t>
  </si>
  <si>
    <t>Quảng Lập</t>
  </si>
  <si>
    <t>Sơn Điền</t>
  </si>
  <si>
    <t>Tà Hine</t>
  </si>
  <si>
    <t>Tà Năng</t>
  </si>
  <si>
    <t>Tân Hà</t>
  </si>
  <si>
    <t>Tân Hội</t>
  </si>
  <si>
    <t xml:space="preserve">Lang Biang </t>
  </si>
  <si>
    <t>Họ và tên</t>
  </si>
  <si>
    <t>Bon Niêng K' A Ngọc Bé</t>
  </si>
  <si>
    <t>Phi Srônh Khánh Di</t>
  </si>
  <si>
    <t>Lơ Mu Phong Đạt</t>
  </si>
  <si>
    <t>Đa Goút Ngọc Hân</t>
  </si>
  <si>
    <t>Khổng Hữu Nhật Hưng</t>
  </si>
  <si>
    <t>Kră Jăn Inly</t>
  </si>
  <si>
    <t>Kon Sơ Jack Ky</t>
  </si>
  <si>
    <t>Kơ Să Lê Bê La</t>
  </si>
  <si>
    <t>Kon Sa Mỹ Lệ</t>
  </si>
  <si>
    <t>Rơ Ông K' Lộc</t>
  </si>
  <si>
    <t>Rơ Ông Kim Luôn</t>
  </si>
  <si>
    <t>Rơ Ông K' Mã</t>
  </si>
  <si>
    <t>Bon Dơng Ja Min</t>
  </si>
  <si>
    <t>Kon Sơ Han Na</t>
  </si>
  <si>
    <t>Kră Jăn Glê Na</t>
  </si>
  <si>
    <t>Kơ Să Phương Nghi</t>
  </si>
  <si>
    <t>Kră Jãn Như Nghiệp</t>
  </si>
  <si>
    <t>Kơ Să An Nhiên</t>
  </si>
  <si>
    <t>Long Dưng A La Pha</t>
  </si>
  <si>
    <t>Hoàng Ninh Hải Quân</t>
  </si>
  <si>
    <t>A Dắt Sa Ring</t>
  </si>
  <si>
    <t>Kon Sa Trần Minh Tâm</t>
  </si>
  <si>
    <t>Kră Jăn Bảo Thi</t>
  </si>
  <si>
    <t>Bon Dưng Gia Thiện</t>
  </si>
  <si>
    <t>Sohao Phương Thùy</t>
  </si>
  <si>
    <t>Rơ Ông K' Thư</t>
  </si>
  <si>
    <t>Liêng Jrang Ru Tơ</t>
  </si>
  <si>
    <t>Bùi Thị Huyền Trâm</t>
  </si>
  <si>
    <t>Liêng Jrang Lệ Trinh</t>
  </si>
  <si>
    <t>Trương Văn An</t>
  </si>
  <si>
    <t>Kră Jăn Ngọc Ánh</t>
  </si>
  <si>
    <t>Liêng Hót Dêbôra</t>
  </si>
  <si>
    <t>Bon Niêng K' Gưm</t>
  </si>
  <si>
    <t>Đà Cắt K' Na Hi</t>
  </si>
  <si>
    <t>Chu Nhật Huy</t>
  </si>
  <si>
    <t>Lơ Mu Julia</t>
  </si>
  <si>
    <t>Cil Múp Ja Kốp</t>
  </si>
  <si>
    <t>Lơ Mu Shay La</t>
  </si>
  <si>
    <t>Sơ Ao Ha Su Len</t>
  </si>
  <si>
    <t>Cil Múp Linđa</t>
  </si>
  <si>
    <t>Rơ Ông K Lu-y</t>
  </si>
  <si>
    <t>Cil Múp Kê Ly</t>
  </si>
  <si>
    <t>Bonnơr Thảo Mi</t>
  </si>
  <si>
    <t>Kon Sơ Ly Na</t>
  </si>
  <si>
    <t>Sơ Ao Su Nét</t>
  </si>
  <si>
    <t>Liêng Hót Khánh Ngọc</t>
  </si>
  <si>
    <t>Ka Să Sa Nia</t>
  </si>
  <si>
    <t>R' Ông E Rin</t>
  </si>
  <si>
    <t>Da Gout Saphy</t>
  </si>
  <si>
    <t>Kon Sa Ki Te</t>
  </si>
  <si>
    <t>Cil Múp Ê Sơ Tê</t>
  </si>
  <si>
    <t>Cil Nhất Thùy</t>
  </si>
  <si>
    <t>Kon Sa Trần Huyền Trang</t>
  </si>
  <si>
    <t>Da Cat Đô Yan</t>
  </si>
  <si>
    <t>Kră Jẵn Da Lia A</t>
  </si>
  <si>
    <t>Da Góut Lê An</t>
  </si>
  <si>
    <t>Ntôl Bùi Thiên Ân</t>
  </si>
  <si>
    <t>Kơ Să Catherine</t>
  </si>
  <si>
    <t>Kon Sơ Minh Châu</t>
  </si>
  <si>
    <t>Cil Múp La Dy</t>
  </si>
  <si>
    <t>Kơ Să Hê Grin</t>
  </si>
  <si>
    <t>Dơng Gur Si Kha</t>
  </si>
  <si>
    <t>Kơ Să Nông Tiến Khoa</t>
  </si>
  <si>
    <t>Kon Sa The Kô</t>
  </si>
  <si>
    <t>Dơng Gur Ha Krơng</t>
  </si>
  <si>
    <t>Klong Như Lan</t>
  </si>
  <si>
    <t>Rơ Ông K' Le</t>
  </si>
  <si>
    <t>Kră Jăn K' Linh</t>
  </si>
  <si>
    <t>Klong K' Loan</t>
  </si>
  <si>
    <t>Rơ Ông Ha Luis</t>
  </si>
  <si>
    <t>Kon Sơ K' Khên Ly</t>
  </si>
  <si>
    <t>Cil Pam Khôi Nguyên</t>
  </si>
  <si>
    <t>Pang Ting Trắng Thu Nguyệt</t>
  </si>
  <si>
    <t>Bạch Pang Thiện Nhân</t>
  </si>
  <si>
    <t>Cêl Môp Rơ Ông Nhuận</t>
  </si>
  <si>
    <t>Rơ Ông Kỳ Phương</t>
  </si>
  <si>
    <t>Cil The Ry</t>
  </si>
  <si>
    <t>Kră Jãn Na Than</t>
  </si>
  <si>
    <t>Bon Dơng Lê Thiên</t>
  </si>
  <si>
    <t>Klong Đức Thuận</t>
  </si>
  <si>
    <t>Kơ Să Nông Thị Trang</t>
  </si>
  <si>
    <t>Cil Múp Huyền Trân</t>
  </si>
  <si>
    <t>Cil Yũ K' Hải Yến</t>
  </si>
  <si>
    <t>Kră Jañ Ra Chel</t>
  </si>
  <si>
    <t>Ntôl Ha Dân</t>
  </si>
  <si>
    <t>Kră Jăn K' Linh Đan</t>
  </si>
  <si>
    <t>K' Hi</t>
  </si>
  <si>
    <t>Cao Kon Sơ Song Hỉ</t>
  </si>
  <si>
    <t>Liêng Hót Jêrôham</t>
  </si>
  <si>
    <t>Lơ Mu Re Joice</t>
  </si>
  <si>
    <t>Lê Võ Thiên Kim</t>
  </si>
  <si>
    <t>Pang Ting Trần Xuân Lam</t>
  </si>
  <si>
    <t>Klong Hà Hải Luân</t>
  </si>
  <si>
    <t>Cil Nguyễn Xuân Lưu</t>
  </si>
  <si>
    <t>Rơ Ông Lynét</t>
  </si>
  <si>
    <t>Cil Múp MyRinDa</t>
  </si>
  <si>
    <t>Đạ Kriêng K Ngis</t>
  </si>
  <si>
    <t>Sơ Kết K Nhị</t>
  </si>
  <si>
    <t>Klong K' Như</t>
  </si>
  <si>
    <t>Cil Nguyên Ninh</t>
  </si>
  <si>
    <t>Kră Jẵn Long Phụng</t>
  </si>
  <si>
    <t>Cil Ngọc Quyền</t>
  </si>
  <si>
    <t>Liêng Jrang Spring</t>
  </si>
  <si>
    <t>Rơ Ông Gia Thiện</t>
  </si>
  <si>
    <t>Bon Yô Nhật Tiến</t>
  </si>
  <si>
    <t>Dơng Gur Trương Thị Trang</t>
  </si>
  <si>
    <t>Kon Sơ Kim Thanh Tuyền</t>
  </si>
  <si>
    <t>Kơ Să Năng Tường</t>
  </si>
  <si>
    <t>Rơông Jè Ương</t>
  </si>
  <si>
    <t>Hà Cẩm Vân</t>
  </si>
  <si>
    <t>Da Cat Ha Ly Yong</t>
  </si>
  <si>
    <t>Cil Li Zin</t>
  </si>
  <si>
    <t>Rơ Ông Trí Anh</t>
  </si>
  <si>
    <t>Klong Rê Bê Ca</t>
  </si>
  <si>
    <t>Kră Jañ Krè Ding</t>
  </si>
  <si>
    <t>Da Cát K' Hà</t>
  </si>
  <si>
    <t>Lơ Mu Hanna</t>
  </si>
  <si>
    <t>Bon Niêng K' Hảo</t>
  </si>
  <si>
    <t>Kơ Să Mỹ Hiền</t>
  </si>
  <si>
    <t>Kơ Să Ly Su In</t>
  </si>
  <si>
    <t>Rơ ông Siu Ly</t>
  </si>
  <si>
    <t>Kon Sa Na Ô Mi</t>
  </si>
  <si>
    <t>Cil Pam Thiết Nghiêm</t>
  </si>
  <si>
    <t>Klong Kim Ngọc</t>
  </si>
  <si>
    <t>Pang Ting Nguyễn Bảo Ngọc</t>
  </si>
  <si>
    <t>Da Căt Huy Nhật</t>
  </si>
  <si>
    <t>Lơ Mu Siu Niệm</t>
  </si>
  <si>
    <t>Păng Ting K' Builly Pốt</t>
  </si>
  <si>
    <t>Kră Jăn Ju Rin</t>
  </si>
  <si>
    <t>Kơ Să K' Thao</t>
  </si>
  <si>
    <t>Kon Sa Nguyễn Thị Thảo</t>
  </si>
  <si>
    <t>Cơ Liêng K' Thơ</t>
  </si>
  <si>
    <t>Kon Sơ Bích Trầm</t>
  </si>
  <si>
    <t>Lơ Mu Minh Vy</t>
  </si>
  <si>
    <t>Đào Thị Huyền Diệu</t>
  </si>
  <si>
    <t>Bon Niêng Hà Tâm Đan</t>
  </si>
  <si>
    <t>Lơ Mu Ích Ma En</t>
  </si>
  <si>
    <t>Rơ Ông Ri Gân</t>
  </si>
  <si>
    <t>Cil Gluyên</t>
  </si>
  <si>
    <t>Cil Juliya</t>
  </si>
  <si>
    <t>Cil Phi Criêu Ren - Ka</t>
  </si>
  <si>
    <t>Kơ Să K' Kiều</t>
  </si>
  <si>
    <t>Kơ Să Rô Les</t>
  </si>
  <si>
    <t>Lơ Mu Khánh Linh</t>
  </si>
  <si>
    <t>Lơ Mu Trương K' Mai</t>
  </si>
  <si>
    <t>Lơ Mu Ja Mas</t>
  </si>
  <si>
    <t>Đơng Gur Diễm My</t>
  </si>
  <si>
    <t>Cil Phạm Bảo Ngọc</t>
  </si>
  <si>
    <t>Kơ Dơng Mận Nhu</t>
  </si>
  <si>
    <t>Liêng Hót Đa Ny</t>
  </si>
  <si>
    <t>Rơ Ông Kim Oanh</t>
  </si>
  <si>
    <t>Cil Mup Sara</t>
  </si>
  <si>
    <t>Kơ Să Lu Se</t>
  </si>
  <si>
    <t>Kơ Să An Sơn</t>
  </si>
  <si>
    <t>Lơ Mu Sê Tha</t>
  </si>
  <si>
    <t>Rơ Ông Ha Tình</t>
  </si>
  <si>
    <t>Liêng Jrang Ka Belem</t>
  </si>
  <si>
    <t>Kơ Să Ha Châu</t>
  </si>
  <si>
    <t>Kiều Vy Dơng Gur</t>
  </si>
  <si>
    <t>Kon Sơ K' Jiêm</t>
  </si>
  <si>
    <t>Liêng Hót Xu Jơn</t>
  </si>
  <si>
    <t>Kon Sa Trần Minh Khuê</t>
  </si>
  <si>
    <t>Kơ Să K’Dồng</t>
  </si>
  <si>
    <t>Kơ Să Phương Lam</t>
  </si>
  <si>
    <t>Kơ Să Tha Las</t>
  </si>
  <si>
    <t>Dà Cát K' Luật</t>
  </si>
  <si>
    <t>Lơ Mu Biêu Ly</t>
  </si>
  <si>
    <t>Kon Sơ E My</t>
  </si>
  <si>
    <t>Kơ Să Han Jin Ne</t>
  </si>
  <si>
    <t>Kon Sơ Hoài Như</t>
  </si>
  <si>
    <t>Rơ Ông Sill Ny</t>
  </si>
  <si>
    <t>Rơ Ông Ha Phúc</t>
  </si>
  <si>
    <t>Klong Be Ra</t>
  </si>
  <si>
    <t>Kơ Să Ly Su Rim</t>
  </si>
  <si>
    <t>Kơ Să Kiều Sa</t>
  </si>
  <si>
    <t>Liêng Hót K' Ly Ta</t>
  </si>
  <si>
    <t>Bon Niêng Trọng Tài</t>
  </si>
  <si>
    <t>Dơng Gur Han tra</t>
  </si>
  <si>
    <t>Đơng Gur Hứa Thị Minh Vi</t>
  </si>
  <si>
    <t>Lơ Mu Vỹ Yến</t>
  </si>
  <si>
    <t>Cil Kim Anh</t>
  </si>
  <si>
    <t>Kơ Să Ngọc Ánh</t>
  </si>
  <si>
    <t>Bon Dơng Mai Dung</t>
  </si>
  <si>
    <t>Cil Múp K’ Duyết</t>
  </si>
  <si>
    <t>Bon Niêng Vỷ Đình</t>
  </si>
  <si>
    <t>Kon Sa K Lê Đuyn</t>
  </si>
  <si>
    <t>Liêng Hót Sê Hin</t>
  </si>
  <si>
    <t>Kơ Să Hà Khôi</t>
  </si>
  <si>
    <t>Kră Jăn Quách Thị Linh</t>
  </si>
  <si>
    <t>Kon Sơ Khánh Ly</t>
  </si>
  <si>
    <t>Rơ Ông Ti Na</t>
  </si>
  <si>
    <t>Klong Na_Gáts</t>
  </si>
  <si>
    <t>Sơ Kết Tâm Như</t>
  </si>
  <si>
    <t>Kră Jăn A Ny</t>
  </si>
  <si>
    <t>Mbon Ha Phôn</t>
  </si>
  <si>
    <t>Lơ Mu Hạ Phương</t>
  </si>
  <si>
    <t>Kon Sơ K' Bô Ra</t>
  </si>
  <si>
    <t>Liêng Hót Se Pho Ra</t>
  </si>
  <si>
    <t>Kon Sơ A Rin</t>
  </si>
  <si>
    <t>Kơ Să Li Sa</t>
  </si>
  <si>
    <t>Kon Sơ Ly Sanh</t>
  </si>
  <si>
    <t>Liêng Jrang Sine</t>
  </si>
  <si>
    <t>Liêng Jrang Ha Thiện</t>
  </si>
  <si>
    <t>Cơ Liêng K’ Tơ</t>
  </si>
  <si>
    <t>Ka' An</t>
  </si>
  <si>
    <t>Hoàng Thị Ngọc Ánh</t>
  </si>
  <si>
    <t>Kon Sơ Linh Ân</t>
  </si>
  <si>
    <t>Cil Gia Bảo</t>
  </si>
  <si>
    <t>Sơ Lơng Boy</t>
  </si>
  <si>
    <t>Cill Pame Sandra Ra Chell</t>
  </si>
  <si>
    <t>Cil K' Diểm</t>
  </si>
  <si>
    <t>Pang Pế H' Diệp</t>
  </si>
  <si>
    <t>K' Đương</t>
  </si>
  <si>
    <t>Lê Nguyễn Trung Hiếu</t>
  </si>
  <si>
    <t>Luân Đức Hiếu</t>
  </si>
  <si>
    <t>Ka Hơn</t>
  </si>
  <si>
    <t>Bùi Công Huy</t>
  </si>
  <si>
    <t>K' Kes</t>
  </si>
  <si>
    <t>Vi Huy Khôi</t>
  </si>
  <si>
    <t>Dơng Gur K' Lốc</t>
  </si>
  <si>
    <t>Sà Lồng Me Lụa</t>
  </si>
  <si>
    <t>Triệu Đình Minh</t>
  </si>
  <si>
    <t>Tống Thị Bùi Nhung</t>
  </si>
  <si>
    <t>Liêng Jrang Y Phụng</t>
  </si>
  <si>
    <t>Kră Jiẵn Ka The Rin</t>
  </si>
  <si>
    <t>Liêng Jrang Rô Sia</t>
  </si>
  <si>
    <t>Ka' Jim Min Thạch</t>
  </si>
  <si>
    <t>Ka In Thoen</t>
  </si>
  <si>
    <t>Nai Thuyết</t>
  </si>
  <si>
    <t>Đặng Thị Hoài Thư</t>
  </si>
  <si>
    <t>Ka' Thư</t>
  </si>
  <si>
    <t>K' Thương</t>
  </si>
  <si>
    <t>Ka Thủy Tiên</t>
  </si>
  <si>
    <t>K’ Vy</t>
  </si>
  <si>
    <t>Giàng Thị Bích</t>
  </si>
  <si>
    <t>Jơrlơng Mi Chên</t>
  </si>
  <si>
    <t>Chu Thị Khánh Chương</t>
  </si>
  <si>
    <t>Ka Diệp</t>
  </si>
  <si>
    <t>Ka Duy</t>
  </si>
  <si>
    <t>Triệu Thị Hằng</t>
  </si>
  <si>
    <t>Lương Thị Hiệu</t>
  </si>
  <si>
    <t>Vương Thị Ngọc Huệ</t>
  </si>
  <si>
    <t>Giàng Thị Lan</t>
  </si>
  <si>
    <t>Lục Thị Trúc Linh</t>
  </si>
  <si>
    <t>Kră Jăn Va Luyst</t>
  </si>
  <si>
    <t>Nguyễn Lê Bình Minh</t>
  </si>
  <si>
    <t>Kơbau Bơnuh Li Na</t>
  </si>
  <si>
    <t>Điểu Thị Đa Ni</t>
  </si>
  <si>
    <t>K' Đa Niss</t>
  </si>
  <si>
    <t>Kră Jăn K' Nim Pha</t>
  </si>
  <si>
    <t>K' Ngọc Quý</t>
  </si>
  <si>
    <t>Cil En Sơ Ra</t>
  </si>
  <si>
    <t>Ka Să Sy Rem</t>
  </si>
  <si>
    <t>K' Ngọc Thảo</t>
  </si>
  <si>
    <t>Ka Thiềng</t>
  </si>
  <si>
    <t>Ka Ánh Thùy</t>
  </si>
  <si>
    <t>Nông Thị Hoài Thương</t>
  </si>
  <si>
    <t>Bùi Thị Ngọc Trâm</t>
  </si>
  <si>
    <t>Hà Anh Tú</t>
  </si>
  <si>
    <t>Ka Y Vân</t>
  </si>
  <si>
    <t>Rơ Ông Thu Vân</t>
  </si>
  <si>
    <t>Mơ Tùi Đa Vít</t>
  </si>
  <si>
    <t>Liêng Hót Như Ý</t>
  </si>
  <si>
    <t>Ka Mỹ Ánh</t>
  </si>
  <si>
    <t>Liêng Jrang Khả Hân</t>
  </si>
  <si>
    <t>Ka Thanh Hoa</t>
  </si>
  <si>
    <t>Ka Tam Bố Hơn</t>
  </si>
  <si>
    <t>Ka Huệ</t>
  </si>
  <si>
    <t>Nah Ria Huệ</t>
  </si>
  <si>
    <t>Kon Sơ K' Hy</t>
  </si>
  <si>
    <t>Ka Ly</t>
  </si>
  <si>
    <t>Cil Ha Jô Na</t>
  </si>
  <si>
    <t>Kon Sơ A The Na</t>
  </si>
  <si>
    <t>Ka Bo Thảo Nguyên</t>
  </si>
  <si>
    <t>Cruyang Sang Thanh Nhi</t>
  </si>
  <si>
    <t>Ka Nhuỵ</t>
  </si>
  <si>
    <t>Lơ Mu Da Nis</t>
  </si>
  <si>
    <t>Triệu Quang Phong</t>
  </si>
  <si>
    <t>Liêng Jrang Vũ Kim Phượng</t>
  </si>
  <si>
    <t>Lơ Mu Ngọc Quyên</t>
  </si>
  <si>
    <t>Tou Neh Thiên Quyền</t>
  </si>
  <si>
    <t>K' Quỳnh</t>
  </si>
  <si>
    <t>Bon Dơng My Ran</t>
  </si>
  <si>
    <t>Sơ Ao Su Rít</t>
  </si>
  <si>
    <t>Bơ Nah Ria 	prong Thảo</t>
  </si>
  <si>
    <t>Kon Sa Thiên Thủy</t>
  </si>
  <si>
    <t>Sơ Ao My Thuyn</t>
  </si>
  <si>
    <t>K' Tiên</t>
  </si>
  <si>
    <t>Ka Thùy Trang</t>
  </si>
  <si>
    <t>Long Dinh K' Trâm</t>
  </si>
  <si>
    <t>Klong Lê Thị Nhã Uyên</t>
  </si>
  <si>
    <t>Soh Ao Việt</t>
  </si>
  <si>
    <t>So Hao My Yến</t>
  </si>
  <si>
    <t>Kră Jăn K' Ân</t>
  </si>
  <si>
    <t>K’ Ha Blan</t>
  </si>
  <si>
    <t>Rơ Ông Thùy Chi</t>
  </si>
  <si>
    <t>Lê Thị Thùy Dung</t>
  </si>
  <si>
    <t>Bon Niêng Trương Thúy Hằng</t>
  </si>
  <si>
    <t>Liêng Hót K' Juyn</t>
  </si>
  <si>
    <t>Lơ Mu Ha Khoa</t>
  </si>
  <si>
    <t>Kră Jăn Da Lin</t>
  </si>
  <si>
    <t>Vàng Thị Thanh Mai</t>
  </si>
  <si>
    <t>Ka Ngô Ái Mẫn</t>
  </si>
  <si>
    <t>Ka Hà Nội Mi</t>
  </si>
  <si>
    <t>Kbao Bnuh Milan</t>
  </si>
  <si>
    <t>Lơ Mu Ju Nes</t>
  </si>
  <si>
    <t>Tơr Ao Nai Nhi</t>
  </si>
  <si>
    <t>Cil Yũ Mi Ni</t>
  </si>
  <si>
    <t>Ka Oanh</t>
  </si>
  <si>
    <t>Ka Rếm</t>
  </si>
  <si>
    <t>K' Rum</t>
  </si>
  <si>
    <t>Liêng Hót Mai Li Sa</t>
  </si>
  <si>
    <t>Ly Sa</t>
  </si>
  <si>
    <t>Quách Kon Sơ Ngọc Sơn</t>
  </si>
  <si>
    <t>Rơ Ông Ma Thê</t>
  </si>
  <si>
    <t>K’ Thư</t>
  </si>
  <si>
    <t>Ka Na Bảo Thy</t>
  </si>
  <si>
    <t>Kơ Să K' Tiến</t>
  </si>
  <si>
    <t>Ma Tin</t>
  </si>
  <si>
    <t>Long Ding Ngọc Trâm</t>
  </si>
  <si>
    <t>Ka' Trúc</t>
  </si>
  <si>
    <t>Trương Thị Thanh Trúc</t>
  </si>
  <si>
    <t>K' Tuệ</t>
  </si>
  <si>
    <t>Nưng Sang Nai Yến</t>
  </si>
  <si>
    <t>Liêng Jrang Thu An</t>
  </si>
  <si>
    <t>Tou Prong Nai Bích</t>
  </si>
  <si>
    <t>Pang Kao Ha Mi Chem</t>
  </si>
  <si>
    <t>Tou Prong Minh Diệu</t>
  </si>
  <si>
    <t>Bơ Ju Điệp</t>
  </si>
  <si>
    <t>Kơ Jong Prong Ma Giao</t>
  </si>
  <si>
    <t>Ra Nàng K' Giâng</t>
  </si>
  <si>
    <t>Mbon Ha Grin</t>
  </si>
  <si>
    <t>K' Hạnh</t>
  </si>
  <si>
    <t>Dạ Gút Ya Hạo</t>
  </si>
  <si>
    <t>Rơ Nai K' Hiên</t>
  </si>
  <si>
    <t>Kơ Să K' Hiệp</t>
  </si>
  <si>
    <t>K' Jím</t>
  </si>
  <si>
    <t>Tou Prong Khúy</t>
  </si>
  <si>
    <t>K' Lân</t>
  </si>
  <si>
    <t>Nah Ria Linh</t>
  </si>
  <si>
    <t>K’ Ly Ly</t>
  </si>
  <si>
    <t>Chama Léa Thị Mai</t>
  </si>
  <si>
    <t>Ka Mhỉng</t>
  </si>
  <si>
    <t>Ka Ly Na</t>
  </si>
  <si>
    <t>Dakriêng My Nguyệt</t>
  </si>
  <si>
    <t>Ma Ngưỡng</t>
  </si>
  <si>
    <t>Liêng Jrang Ngọc Nhi</t>
  </si>
  <si>
    <t>Bàn Thị Thu Nhung</t>
  </si>
  <si>
    <t>Đàm Chí Phong</t>
  </si>
  <si>
    <t>K' Sri</t>
  </si>
  <si>
    <t>Ma Triển</t>
  </si>
  <si>
    <t>Bơ Ju Nai Truy</t>
  </si>
  <si>
    <t>Đa Du Mạnh Vân</t>
  </si>
  <si>
    <t>Rơ Nai K' Vân</t>
  </si>
  <si>
    <t>Giàng Thị Vy</t>
  </si>
  <si>
    <t>Phan Ngọc Hoàng Ân</t>
  </si>
  <si>
    <t>Triệu Tiến Dũng</t>
  </si>
  <si>
    <t>Vũ Chí Hiếu</t>
  </si>
  <si>
    <t>Vương Thị Ngọc Hoa</t>
  </si>
  <si>
    <t>K' Diễm Hồng</t>
  </si>
  <si>
    <t>Ka Huần</t>
  </si>
  <si>
    <t>Bùi Tiến Hùng</t>
  </si>
  <si>
    <t>Thào Thị Huyền</t>
  </si>
  <si>
    <t>K' Huyn</t>
  </si>
  <si>
    <t>Ka Huỳnh</t>
  </si>
  <si>
    <t>Bon Dơng Ha Kiên</t>
  </si>
  <si>
    <t>Sầm Thị Ngọc Lan</t>
  </si>
  <si>
    <t>Sa Lem</t>
  </si>
  <si>
    <t>Ka Thảo Liên</t>
  </si>
  <si>
    <t>Kơ Să Gia Mi</t>
  </si>
  <si>
    <t>Võ Quỳnh Như</t>
  </si>
  <si>
    <t>Đa Gút Ty Nia</t>
  </si>
  <si>
    <t>Rơ Ông Quang</t>
  </si>
  <si>
    <t>Lơ Mu Ha Quốc</t>
  </si>
  <si>
    <t>Bon Yô Jẵn Soan</t>
  </si>
  <si>
    <t>Bơnah Ria Ma Sở</t>
  </si>
  <si>
    <t>Klong Mi Suyn</t>
  </si>
  <si>
    <t>Hoàng Thị Thu Thảo</t>
  </si>
  <si>
    <t>Ka This</t>
  </si>
  <si>
    <t>Ka Thùy</t>
  </si>
  <si>
    <t>Lương Thị Thùy Trang</t>
  </si>
  <si>
    <t>Đặng Thùy Trâm</t>
  </si>
  <si>
    <t>Hoàng Thị Thùy Trâm</t>
  </si>
  <si>
    <t>Phan Thành Trung</t>
  </si>
  <si>
    <t>Hoàng Duy Tú</t>
  </si>
  <si>
    <t>Bùi Thị Tường Vy</t>
  </si>
  <si>
    <t>Klong Y Yơn</t>
  </si>
  <si>
    <t>K' Binh</t>
  </si>
  <si>
    <t>Dơng Gur Ha Chung</t>
  </si>
  <si>
    <t>K' Diệm</t>
  </si>
  <si>
    <t>Hoàng Ngọc Kim Dung</t>
  </si>
  <si>
    <t>K' Giang</t>
  </si>
  <si>
    <t>Nahria Huyền Giang</t>
  </si>
  <si>
    <t>K' Huyền</t>
  </si>
  <si>
    <t>Ka Kiên</t>
  </si>
  <si>
    <t>Cil Múp An Kỳ</t>
  </si>
  <si>
    <t>Ka Sa Ly</t>
  </si>
  <si>
    <t>Touprong Nai Mẫn</t>
  </si>
  <si>
    <t>Lơ Mu Tô Lệ My</t>
  </si>
  <si>
    <t>Kră Jăn Duy Na</t>
  </si>
  <si>
    <t>Ha Phi Ne</t>
  </si>
  <si>
    <t>Ya Ngoan</t>
  </si>
  <si>
    <t>Ma Nhiệm</t>
  </si>
  <si>
    <t>Rơ Lík K' Quỳnh Như</t>
  </si>
  <si>
    <t>Kơ Să K' Nhược</t>
  </si>
  <si>
    <t>Sơ Ao Va Nia</t>
  </si>
  <si>
    <t>Rơ Lik H Nuyn</t>
  </si>
  <si>
    <t>K' Ơn</t>
  </si>
  <si>
    <t>K' Dơng Parê</t>
  </si>
  <si>
    <t>Liêng Hót Samuel</t>
  </si>
  <si>
    <t>Rơ Lưk H Srong</t>
  </si>
  <si>
    <t>Rơ Ông K' Thoại</t>
  </si>
  <si>
    <t>Ndu Mộng Thu</t>
  </si>
  <si>
    <t>Ka' Thúy</t>
  </si>
  <si>
    <t>Kơ Să Nê Va</t>
  </si>
  <si>
    <t>Cil K' Lê Vy</t>
  </si>
  <si>
    <t>Hoàng Hạ Nhật Vy</t>
  </si>
  <si>
    <t>Bơ Nah Ria Xinh</t>
  </si>
  <si>
    <t>So Hao Dzin</t>
  </si>
  <si>
    <t>Kơ Să Sang En</t>
  </si>
  <si>
    <t>Đa Ni - Ên</t>
  </si>
  <si>
    <t>Ka Hạnh</t>
  </si>
  <si>
    <t>Ka Să Ya Huy</t>
  </si>
  <si>
    <t>Mơ Tui Ya Kiệt</t>
  </si>
  <si>
    <t>Bàn Thị Thu Kiều</t>
  </si>
  <si>
    <t>Pang Pế Pha Lê</t>
  </si>
  <si>
    <t>Jơr Lơng Mai Linh</t>
  </si>
  <si>
    <t>Tuo Prong Nai Triệu Mẫn</t>
  </si>
  <si>
    <t>Nai Nhã Mững</t>
  </si>
  <si>
    <t>Cil Pam Lệ Ngọc</t>
  </si>
  <si>
    <t>Kơ Jong Prong Nai Nguyện</t>
  </si>
  <si>
    <t>Mok K' Nhung</t>
  </si>
  <si>
    <t>Cil K' Oanh</t>
  </si>
  <si>
    <t>Bơ Nhong Nai Phúc</t>
  </si>
  <si>
    <t>Phạm Thị Yến Phương</t>
  </si>
  <si>
    <t>Sùng Thị Phượng</t>
  </si>
  <si>
    <t>Ka' You Ri</t>
  </si>
  <si>
    <t>Ma Thu</t>
  </si>
  <si>
    <t>Liêng Hót K' Thuyết</t>
  </si>
  <si>
    <t>Dà Cát K' Thương</t>
  </si>
  <si>
    <t>Liêng Hót K' Lê Tóc</t>
  </si>
  <si>
    <t>Đặng Thị Huyền Trâm</t>
  </si>
  <si>
    <t>Cruyang Sang Trúc</t>
  </si>
  <si>
    <t>K' Trưởng</t>
  </si>
  <si>
    <t>Nưng Sang Nai Xuyến</t>
  </si>
  <si>
    <t>Tou Neh - Mơ - Yom</t>
  </si>
  <si>
    <t>Ria Kơ Jong Thúy Bưởi</t>
  </si>
  <si>
    <t>K' Chiến</t>
  </si>
  <si>
    <t>Ka Dôm</t>
  </si>
  <si>
    <t>Sruk Đan</t>
  </si>
  <si>
    <t>Lâm Viêng Su Giơn</t>
  </si>
  <si>
    <t>Ka Jang Hiên</t>
  </si>
  <si>
    <t>Kơ Să Rê Bê Ka</t>
  </si>
  <si>
    <t>Lơ Mu Sa Lem</t>
  </si>
  <si>
    <t>See Gull Ka Kim Linh</t>
  </si>
  <si>
    <t>Tou Tiang Thùy Linh</t>
  </si>
  <si>
    <t>Ka Lối</t>
  </si>
  <si>
    <t>Liêng Jrang Mariang</t>
  </si>
  <si>
    <t>Bùi Đức Minh</t>
  </si>
  <si>
    <t>Hoàng Ánh Nguyệt</t>
  </si>
  <si>
    <t>Ka Sá Nhinh</t>
  </si>
  <si>
    <t>Ka Kiều Oanh</t>
  </si>
  <si>
    <t>K' Sa Ra</t>
  </si>
  <si>
    <t>Liêng Jrang Mai Sor</t>
  </si>
  <si>
    <t>Ka' Thiện</t>
  </si>
  <si>
    <t>Liêng Hót K' Thiêu</t>
  </si>
  <si>
    <t>Kơ Sã Nông Kiều Thư</t>
  </si>
  <si>
    <t>Vi Thị Ngọc Trâm</t>
  </si>
  <si>
    <t>K' Mai Trinh</t>
  </si>
  <si>
    <t>Hoàng Thị Khánh Trúc</t>
  </si>
  <si>
    <t>Ta Pố Hy Un</t>
  </si>
  <si>
    <t>Khổng Đàm Phương Vy</t>
  </si>
  <si>
    <t>Kră Jañ Le Wi</t>
  </si>
  <si>
    <t>Rơ Ông Ja Ban</t>
  </si>
  <si>
    <t>Triệu Băng Băng</t>
  </si>
  <si>
    <t>Liêng Hót Êlisa Bét</t>
  </si>
  <si>
    <t>Rơ Yam K' Bơn</t>
  </si>
  <si>
    <t>Lương Quốc Dân</t>
  </si>
  <si>
    <t>Tou Prong Diệp</t>
  </si>
  <si>
    <t>K' Dìm</t>
  </si>
  <si>
    <t>K' Đào</t>
  </si>
  <si>
    <t>Rơ Ông An Đình</t>
  </si>
  <si>
    <t>Kơ Yon Prong Hoen</t>
  </si>
  <si>
    <t>Kră Dạ K' Huệ</t>
  </si>
  <si>
    <t>Cil Pam Huệ Linh</t>
  </si>
  <si>
    <t>Đa Cát K' Nga</t>
  </si>
  <si>
    <t>Cil K' Nhã</t>
  </si>
  <si>
    <t>Cơ Liêng Sơ Rin</t>
  </si>
  <si>
    <t>Đinh Quốc Thái</t>
  </si>
  <si>
    <t>Cil Pam Kim Thu</t>
  </si>
  <si>
    <t>K' Thuở</t>
  </si>
  <si>
    <t>Cruyang Nai Tím</t>
  </si>
  <si>
    <t>See Bya Mang Thị Thu Trâm</t>
  </si>
  <si>
    <t>Kră Jẵn Ha Trọng</t>
  </si>
  <si>
    <t>Hoàng Minh Tuấn</t>
  </si>
  <si>
    <t>Phi Srỗn K' Uyên</t>
  </si>
  <si>
    <t>K' Vụ</t>
  </si>
  <si>
    <t>Bàn Thị Hải Yến</t>
  </si>
  <si>
    <t>La Hoàng Anh</t>
  </si>
  <si>
    <t>Bơ Nah Ria Ma Diệp</t>
  </si>
  <si>
    <t>K' Duyên</t>
  </si>
  <si>
    <t>Đinh Trọng Đạt</t>
  </si>
  <si>
    <t>K' Ngọc Điệp</t>
  </si>
  <si>
    <t>Hoàng Nguyễn Bảo Hân</t>
  </si>
  <si>
    <t>Kơ Jong Sa Li</t>
  </si>
  <si>
    <t>K' Giang Long</t>
  </si>
  <si>
    <t>Dơng Gur K' Mỵ</t>
  </si>
  <si>
    <t>Ma Ngân</t>
  </si>
  <si>
    <t>Bon Krong H' Nhi</t>
  </si>
  <si>
    <t>Lơ Mu Hà Nhi</t>
  </si>
  <si>
    <t>Ka Nhuyn</t>
  </si>
  <si>
    <t>K Long Rô Ny</t>
  </si>
  <si>
    <t>Hoàng Nhật Minh Quyền</t>
  </si>
  <si>
    <t>Chu Thị Như Quỳnh</t>
  </si>
  <si>
    <t>Bơ Nah Ria Mi Ren</t>
  </si>
  <si>
    <t>K' Rệ</t>
  </si>
  <si>
    <t>Ma Sen</t>
  </si>
  <si>
    <t>Ra Nai K' Tâm</t>
  </si>
  <si>
    <t>Lý Hà Thu</t>
  </si>
  <si>
    <t>Ka' Thuân</t>
  </si>
  <si>
    <t>Ka Thư</t>
  </si>
  <si>
    <t>Ka Pràng Giang Thư</t>
  </si>
  <si>
    <t>Đàm Thị Hoài Thương</t>
  </si>
  <si>
    <t>Ny Tra</t>
  </si>
  <si>
    <t>Tou Tiang Mỹ Trâm</t>
  </si>
  <si>
    <t>Bùi Mai Anh</t>
  </si>
  <si>
    <t>Jơrlơng Nai Anh</t>
  </si>
  <si>
    <t>Ya Ru Bất</t>
  </si>
  <si>
    <t>Jơ Rlơng Thi Ca</t>
  </si>
  <si>
    <t>Jơrlơng Nai Chơn</t>
  </si>
  <si>
    <t>K' Tony Dajang</t>
  </si>
  <si>
    <t>Bon Dơng Ha Đoan</t>
  </si>
  <si>
    <t>K' M Đuyến</t>
  </si>
  <si>
    <t>Hoàng Mỹ Hạnh</t>
  </si>
  <si>
    <t>Rơ Ông K' Hiêm</t>
  </si>
  <si>
    <t>Ka Hiền</t>
  </si>
  <si>
    <t>Liêng Hót Ry Hil</t>
  </si>
  <si>
    <t>Ka Hoe</t>
  </si>
  <si>
    <t>Lê Triệu Khánh Hùng</t>
  </si>
  <si>
    <t>Dương Quốc Huy</t>
  </si>
  <si>
    <t>Lý Thị Phương Linh</t>
  </si>
  <si>
    <t>Jơr Lơng Ju Mông</t>
  </si>
  <si>
    <t>Liêng Hot Lệ Na</t>
  </si>
  <si>
    <t>K' Mỹ Nguyệt</t>
  </si>
  <si>
    <t>Lò Thị Minh Nguyệt</t>
  </si>
  <si>
    <t>K' Yến Nhi</t>
  </si>
  <si>
    <t>Tam Bou R'jô Nhi</t>
  </si>
  <si>
    <t>Liêng Hót K' Nhiêm</t>
  </si>
  <si>
    <t>Ka Mỹ Quyên</t>
  </si>
  <si>
    <t>Ma Thị Như Quỳnh</t>
  </si>
  <si>
    <t>Cil Yũ The Rin</t>
  </si>
  <si>
    <t>Bơ Nah Ria Nai Sen</t>
  </si>
  <si>
    <t>Bơ Nah Ria Su-in</t>
  </si>
  <si>
    <t>Lý Lương Thu</t>
  </si>
  <si>
    <t>Triệu Thị Thùy Trang</t>
  </si>
  <si>
    <t>Bàn Thị Hoài Vy</t>
  </si>
  <si>
    <t>Rơ Ông K' Ánh</t>
  </si>
  <si>
    <t>Bon Niêng Nguyễn Bảo</t>
  </si>
  <si>
    <t>Rơ Ông Triệu Bân</t>
  </si>
  <si>
    <t>Kon Sơ Ha Ly Chun</t>
  </si>
  <si>
    <t>Hoàng Văn Đức</t>
  </si>
  <si>
    <t>Mơ Bon Ha Jem</t>
  </si>
  <si>
    <t>Rơ Ông K' Kỳ</t>
  </si>
  <si>
    <t>K' Lệ</t>
  </si>
  <si>
    <t>Liêng Hót K' Lệ</t>
  </si>
  <si>
    <t>Luân Thị Thùy Linh</t>
  </si>
  <si>
    <t>Kon Sơ Mai Loan</t>
  </si>
  <si>
    <t>Ka' Phương Ly</t>
  </si>
  <si>
    <t>Lơ Mu Lyche</t>
  </si>
  <si>
    <t>Kơ Să K' Lysa</t>
  </si>
  <si>
    <t>Nỡm H Sơn Mi</t>
  </si>
  <si>
    <t>Kơ Dơng Si - Môn</t>
  </si>
  <si>
    <t>Ka Să Ju Ni</t>
  </si>
  <si>
    <t>Cill Mup Ha Lê Quốc</t>
  </si>
  <si>
    <t>Ka Rơ Jang Quy</t>
  </si>
  <si>
    <t>Hoàng Ngọc Thạch</t>
  </si>
  <si>
    <t>Cill Pam Ha Ti Mô The</t>
  </si>
  <si>
    <t>Ka Thuỳnh</t>
  </si>
  <si>
    <t>Liêng Jrang K Thỷ</t>
  </si>
  <si>
    <t>Yôk Se K' Trinh</t>
  </si>
  <si>
    <t>Long Ding Kha Tường</t>
  </si>
  <si>
    <t>Phùng Thị Thanh Vân</t>
  </si>
  <si>
    <t>Konsa Ksă Hori Zon</t>
  </si>
  <si>
    <t>Ka Kiều Châu Ayua</t>
  </si>
  <si>
    <t>Mbon K' Bền</t>
  </si>
  <si>
    <t>Bơ Nah Ria Nai Chi</t>
  </si>
  <si>
    <t>Ka Bùi Thị Quỳnh Chi</t>
  </si>
  <si>
    <t>Ma La Chi</t>
  </si>
  <si>
    <t>Rơ Ông Ha Chương</t>
  </si>
  <si>
    <t>Cil Múp K' Điều</t>
  </si>
  <si>
    <t>Lơ Mu K' Get</t>
  </si>
  <si>
    <t>Nah Ria Nai Hạnh</t>
  </si>
  <si>
    <t>Dơng Gur K' Hằng</t>
  </si>
  <si>
    <t>Lương Thị Hằng</t>
  </si>
  <si>
    <t>Nưng Sang Ka Hồng</t>
  </si>
  <si>
    <t>Đơng Gur Biu- Ling</t>
  </si>
  <si>
    <t>Sohao Thuỳ Linh</t>
  </si>
  <si>
    <t>Rơ Ông Thô Ma</t>
  </si>
  <si>
    <t>Đinh Hoàng Thanh Mai</t>
  </si>
  <si>
    <t>Kră Jãn Du Mỹ</t>
  </si>
  <si>
    <t>Klong Le Na</t>
  </si>
  <si>
    <t>Drong Phú Huỳnh Kiều Ngân</t>
  </si>
  <si>
    <t>Sơ Kết Ha Nhật</t>
  </si>
  <si>
    <t>Liêng Hot K' Phước</t>
  </si>
  <si>
    <t>Nưng Sang Phương</t>
  </si>
  <si>
    <t>Thang Nai Quỳnh</t>
  </si>
  <si>
    <t>Liêng Hót Na Sôn</t>
  </si>
  <si>
    <t>Bơ Ju Quyết Tâm</t>
  </si>
  <si>
    <t>Ka Thu</t>
  </si>
  <si>
    <t>Long Dưng K' Thuệ</t>
  </si>
  <si>
    <t>Rơ Ông K' Thúy</t>
  </si>
  <si>
    <t>Ka' Thụy</t>
  </si>
  <si>
    <t>Nai Ý</t>
  </si>
  <si>
    <t>Nông Thị Kim Anh</t>
  </si>
  <si>
    <t>Ka Nguyễn Ngọc Ánh</t>
  </si>
  <si>
    <t>Ria Jong Brờn</t>
  </si>
  <si>
    <t>K' Quỳnh Chi</t>
  </si>
  <si>
    <t>K' Dẻo</t>
  </si>
  <si>
    <t>Kơ Să Elizabet</t>
  </si>
  <si>
    <t>Cil Pam Ka Hoa</t>
  </si>
  <si>
    <t>K' Hoa</t>
  </si>
  <si>
    <t>Ka Hoài</t>
  </si>
  <si>
    <t>Lơ Mu K' Hồng</t>
  </si>
  <si>
    <t>Lơ Mu KRa Jôl</t>
  </si>
  <si>
    <t>Triệu Khánh Ly</t>
  </si>
  <si>
    <t>Lơ Mu A Môs</t>
  </si>
  <si>
    <t>Lơ Mu Je Re My</t>
  </si>
  <si>
    <t>Hà Thị Gia Nghi</t>
  </si>
  <si>
    <t>Kon Sa K' Ngoan</t>
  </si>
  <si>
    <t>Ka Hồng Nhung</t>
  </si>
  <si>
    <t>Pang Ting K' Ni</t>
  </si>
  <si>
    <t>Đặng Thị Thu Thảo</t>
  </si>
  <si>
    <t>Đặng Huy Thuần</t>
  </si>
  <si>
    <t>Rơ Ông K' Trúc</t>
  </si>
  <si>
    <t>Dơ Woang Ma Tuyến</t>
  </si>
  <si>
    <t>K' Hồng Uyển</t>
  </si>
  <si>
    <t>Kră Jăn H Viên</t>
  </si>
  <si>
    <t>Ka Vy</t>
  </si>
  <si>
    <t>Lớp học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</si>
  <si>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</si>
  <si>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</si>
  <si>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</si>
  <si>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</si>
  <si>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</si>
  <si>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</si>
  <si>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</si>
  <si>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</si>
  <si>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</si>
  <si>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10B1</t>
  </si>
  <si>
    <t>10B2</t>
  </si>
  <si>
    <t>10C1</t>
  </si>
  <si>
    <t>10C2</t>
  </si>
  <si>
    <t>11A</t>
  </si>
  <si>
    <t>11B</t>
  </si>
  <si>
    <t>11C1</t>
  </si>
  <si>
    <t>11C2</t>
  </si>
  <si>
    <t>11C3</t>
  </si>
  <si>
    <t>12A</t>
  </si>
  <si>
    <t>12B</t>
  </si>
  <si>
    <t>12C1</t>
  </si>
  <si>
    <t>12C2</t>
  </si>
  <si>
    <t>12C3</t>
  </si>
  <si>
    <t>Xã/Phường</t>
  </si>
  <si>
    <t>Phường Lang Biang - Đà Lạt</t>
  </si>
  <si>
    <t>Phường Cam Ly - Đà Lạt</t>
  </si>
  <si>
    <t>Xã Nam Ban Lâm Hà</t>
  </si>
  <si>
    <t>Xã Phúc Thọ Lâm Hà</t>
  </si>
  <si>
    <t>Xã Ninh Gia</t>
  </si>
  <si>
    <t>Xã Đinh Trang Thượng</t>
  </si>
  <si>
    <t>Xã Phú Sơn Lâm Hà</t>
  </si>
  <si>
    <t>Xã Tân Hà Lâm Hà</t>
  </si>
  <si>
    <t>Xã D'Ran</t>
  </si>
  <si>
    <t>Xã Đinh Văn Lâm Hà</t>
  </si>
  <si>
    <t>Xã Nam Hà Lâm Hà</t>
  </si>
  <si>
    <t>Đinh Trang Thượng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</si>
</sst>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2" x14ac:knownFonts="1">
    <font>
      <sz val="14"/>
      <color theme="1"/>
      <name val="Times New Roman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8" tint="-0.249977111117893"/>
      <name val="Times New Roman"/>
      <family val="1"/>
    </font>
    <font>
      <sz val="14"/>
      <color theme="5" tint="-0.499984740745262"/>
      <name val="Times New Roman"/>
      <family val="1"/>
    </font>
    <font>
      <sz val="14"/>
      <color theme="9" tint="-0.499984740745262"/>
      <name val="Times New Roman"/>
      <family val="1"/>
    </font>
    <font>
      <sz val="14"/>
      <color theme="7" tint="-0.499984740745262"/>
      <name val="Times New Roman"/>
      <family val="1"/>
    </font>
    <font>
      <sz val="14"/>
      <color theme="1"/>
      <name val="Times New Roman"/>
      <family val="2"/>
    </font>
    <font>
      <b/>
      <sz val="16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0"/>
      <color indexed="8"/>
      <name val="Arial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8" fillId="0" borderId="0" applyFont="0" applyFill="0" applyBorder="0" applyAlignment="0" applyProtection="0"/>
  </cellStyleXfs>
  <cellXfs count="18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3" fontId="1" fillId="10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3" fontId="1" fillId="7" borderId="1" xfId="0" applyNumberFormat="1" applyFont="1" applyFill="1" applyBorder="1" applyAlignment="1">
      <alignment horizontal="right" vertical="center"/>
    </xf>
    <xf numFmtId="0" fontId="1" fillId="11" borderId="1" xfId="0" applyFont="1" applyFill="1" applyBorder="1" applyAlignment="1">
      <alignment vertical="center"/>
    </xf>
    <xf numFmtId="3" fontId="1" fillId="11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vertical="center" wrapText="1"/>
    </xf>
    <xf numFmtId="3" fontId="1" fillId="9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vertical="center" wrapText="1"/>
    </xf>
    <xf numFmtId="3" fontId="1" fillId="5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3" fontId="1" fillId="4" borderId="1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3" fontId="0" fillId="0" borderId="0" xfId="0" applyNumberFormat="1"/>
    <xf numFmtId="0" fontId="1" fillId="9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3" fontId="1" fillId="8" borderId="1" xfId="0" applyNumberFormat="1" applyFont="1" applyFill="1" applyBorder="1" applyAlignment="1">
      <alignment horizontal="right" vertical="center"/>
    </xf>
    <xf numFmtId="3" fontId="1" fillId="7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wrapText="1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3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vertical="center"/>
    </xf>
    <xf numFmtId="3" fontId="1" fillId="11" borderId="1" xfId="0" applyNumberFormat="1" applyFont="1" applyFill="1" applyBorder="1" applyAlignment="1">
      <alignment vertical="center"/>
    </xf>
    <xf numFmtId="164" fontId="1" fillId="7" borderId="1" xfId="1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164" fontId="1" fillId="9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4" fontId="1" fillId="10" borderId="1" xfId="0" applyNumberFormat="1" applyFont="1" applyFill="1" applyBorder="1" applyAlignment="1">
      <alignment vertical="center"/>
    </xf>
    <xf numFmtId="164" fontId="1" fillId="11" borderId="1" xfId="0" applyNumberFormat="1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49" fontId="0" fillId="0" borderId="0" xfId="0" applyNumberFormat="1" applyFill="1" applyAlignment="1" applyProtection="1">
      <alignment vertical="center" wrapText="1"/>
    </xf>
    <xf numFmtId="49" fontId="0" fillId="0" borderId="0" xfId="0" applyNumberFormat="1" applyFill="1" applyAlignment="1" applyProtection="1">
      <alignment horizontal="center" vertical="center"/>
    </xf>
    <xf numFmtId="49" fontId="11" fillId="0" borderId="0" xfId="0" applyNumberFormat="1" applyFont="1" applyFill="1" applyAlignment="1" applyProtection="1">
      <alignment horizontal="center" vertical="center"/>
    </xf>
    <xf numFmtId="49" fontId="0" fillId="0" borderId="0" xfId="0" applyNumberFormat="1" applyFill="1" applyAlignment="1" applyProtection="1">
      <alignment vertical="center"/>
    </xf>
    <xf numFmtId="49" fontId="11" fillId="0" borderId="0" xfId="0" applyNumberFormat="1" applyFont="1" applyFill="1" applyAlignment="1" applyProtection="1">
      <alignment vertical="center"/>
    </xf>
    <xf numFmtId="0" fontId="1" fillId="7" borderId="1" xfId="0" applyFont="1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right" vertical="center"/>
    </xf>
    <xf numFmtId="0" fontId="1" fillId="10" borderId="1" xfId="0" applyFont="1" applyFill="1" applyBorder="1" applyAlignment="1">
      <alignment horizontal="right" vertical="center"/>
    </xf>
    <xf numFmtId="0" fontId="1" fillId="11" borderId="1" xfId="0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right" vertical="center"/>
    </xf>
    <xf numFmtId="164" fontId="1" fillId="1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right" vertical="center"/>
    </xf>
    <xf numFmtId="164" fontId="1" fillId="11" borderId="1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11" borderId="2" xfId="0" applyNumberFormat="1" applyFill="1" applyBorder="1" applyAlignment="1">
      <alignment horizontal="center"/>
    </xf>
    <xf numFmtId="3" fontId="0" fillId="11" borderId="0" xfId="0" applyNumberFormat="1" applyFill="1" applyBorder="1" applyAlignment="1">
      <alignment horizontal="center"/>
    </xf>
    <xf numFmtId="3" fontId="0" fillId="11" borderId="3" xfId="0" applyNumberFormat="1" applyFill="1" applyBorder="1" applyAlignment="1">
      <alignment horizontal="center"/>
    </xf>
    <xf numFmtId="166" fontId="0" fillId="11" borderId="2" xfId="0" applyNumberFormat="1" applyFill="1" applyBorder="1" applyAlignment="1">
      <alignment horizontal="center"/>
    </xf>
    <xf numFmtId="166" fontId="0" fillId="11" borderId="0" xfId="0" applyNumberForma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1" fontId="0" fillId="11" borderId="0" xfId="0" applyNumberFormat="1" applyFill="1" applyBorder="1" applyAlignment="1">
      <alignment horizontal="center"/>
    </xf>
    <xf numFmtId="1" fontId="0" fillId="11" borderId="3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right" vertical="center"/>
    </xf>
    <xf numFmtId="1" fontId="0" fillId="6" borderId="1" xfId="0" applyNumberForma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right" vertical="center"/>
    </xf>
    <xf numFmtId="1" fontId="0" fillId="11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" fontId="0" fillId="3" borderId="1" xfId="0" applyNumberFormat="1" applyFill="1" applyBorder="1" applyAlignment="1">
      <alignment horizontal="right" vertical="center"/>
    </xf>
    <xf numFmtId="1" fontId="0" fillId="9" borderId="1" xfId="0" applyNumberFormat="1" applyFill="1" applyBorder="1" applyAlignment="1">
      <alignment horizontal="right" vertical="center"/>
    </xf>
    <xf numFmtId="1" fontId="0" fillId="4" borderId="1" xfId="0" applyNumberForma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right" vertical="center"/>
    </xf>
    <xf numFmtId="164" fontId="1" fillId="11" borderId="1" xfId="0" applyNumberFormat="1" applyFont="1" applyFill="1" applyBorder="1" applyAlignment="1">
      <alignment horizontal="right" vertical="center" wrapText="1"/>
    </xf>
    <xf numFmtId="164" fontId="1" fillId="6" borderId="1" xfId="0" applyNumberFormat="1" applyFont="1" applyFill="1" applyBorder="1" applyAlignment="1">
      <alignment horizontal="right" vertical="center" wrapText="1"/>
    </xf>
    <xf numFmtId="164" fontId="1" fillId="10" borderId="1" xfId="0" applyNumberFormat="1" applyFont="1" applyFill="1" applyBorder="1" applyAlignment="1">
      <alignment horizontal="right" vertical="center" wrapText="1"/>
    </xf>
    <xf numFmtId="164" fontId="1" fillId="8" borderId="1" xfId="0" applyNumberFormat="1" applyFont="1" applyFill="1" applyBorder="1" applyAlignment="1">
      <alignment horizontal="right" vertical="center" wrapText="1"/>
    </xf>
    <xf numFmtId="164" fontId="1" fillId="4" borderId="1" xfId="0" applyNumberFormat="1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1" fontId="0" fillId="7" borderId="1" xfId="0" applyNumberForma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 wrapText="1"/>
    </xf>
    <xf numFmtId="1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right" vertical="center"/>
    </xf>
    <xf numFmtId="1" fontId="0" fillId="8" borderId="1" xfId="0" applyNumberFormat="1" applyFill="1" applyBorder="1" applyAlignment="1">
      <alignment horizontal="right" vertical="center"/>
    </xf>
    <xf numFmtId="166" fontId="0" fillId="9" borderId="1" xfId="0" applyNumberForma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right"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right" vertical="center" wrapText="1"/>
    </xf>
    <xf numFmtId="0" fontId="1" fillId="10" borderId="1" xfId="0" applyFont="1" applyFill="1" applyBorder="1" applyAlignment="1">
      <alignment horizontal="right" vertical="center" wrapText="1"/>
    </xf>
    <xf numFmtId="3" fontId="1" fillId="11" borderId="1" xfId="0" applyNumberFormat="1" applyFont="1" applyFill="1" applyBorder="1" applyAlignment="1">
      <alignment horizontal="right" vertical="center" wrapText="1"/>
    </xf>
    <xf numFmtId="0" fontId="0" fillId="6" borderId="1" xfId="0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right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activeCell="A54" sqref="A54"/>
    </sheetView>
  </sheetViews>
  <sheetFormatPr defaultRowHeight="18.75" x14ac:dyDescent="0.3"/>
  <cols>
    <col min="1" max="1" width="24.88671875" customWidth="1"/>
    <col min="2" max="2" width="19.33203125" style="6" bestFit="1" customWidth="1"/>
    <col min="3" max="3" width="12.109375" style="37" customWidth="1"/>
  </cols>
  <sheetData>
    <row r="1" spans="1:4" x14ac:dyDescent="0.3">
      <c r="A1" t="s">
        <v>138</v>
      </c>
    </row>
    <row r="2" spans="1:4" ht="29.1" customHeight="1" x14ac:dyDescent="0.3">
      <c r="A2" s="116" t="s">
        <v>135</v>
      </c>
      <c r="B2" s="116"/>
      <c r="C2" s="116"/>
    </row>
    <row r="3" spans="1:4" ht="19.5" x14ac:dyDescent="0.35">
      <c r="A3" s="117" t="s">
        <v>136</v>
      </c>
      <c r="B3" s="117"/>
      <c r="C3" s="117"/>
    </row>
    <row r="4" spans="1:4" ht="19.5" x14ac:dyDescent="0.35">
      <c r="A4" s="71"/>
      <c r="B4" s="71"/>
      <c r="C4" s="71"/>
    </row>
    <row r="5" spans="1:4" x14ac:dyDescent="0.3">
      <c r="A5" s="7" t="s">
        <v>31</v>
      </c>
      <c r="B5" s="7" t="s">
        <v>32</v>
      </c>
      <c r="C5" s="7" t="s">
        <v>0</v>
      </c>
      <c r="D5" s="72" t="s">
        <v>139</v>
      </c>
    </row>
    <row r="6" spans="1:4" x14ac:dyDescent="0.3">
      <c r="A6" s="64" t="s">
        <v>1</v>
      </c>
      <c r="B6" s="64"/>
      <c r="C6" s="64"/>
      <c r="D6" s="64"/>
    </row>
    <row r="7" spans="1:4" x14ac:dyDescent="0.3">
      <c r="A7" s="66" t="s">
        <v>2</v>
      </c>
      <c r="B7" s="96" t="s">
        <v>3</v>
      </c>
      <c r="C7" s="97">
        <v>100000</v>
      </c>
      <c r="D7" s="66"/>
    </row>
    <row r="8" spans="1:4" x14ac:dyDescent="0.3">
      <c r="A8" s="33" t="s">
        <v>4</v>
      </c>
      <c r="B8" s="96"/>
      <c r="C8" s="98"/>
      <c r="D8" s="33"/>
    </row>
    <row r="9" spans="1:4" x14ac:dyDescent="0.3">
      <c r="A9" s="33" t="s">
        <v>5</v>
      </c>
      <c r="B9" s="96"/>
      <c r="C9" s="98"/>
      <c r="D9" s="33"/>
    </row>
    <row r="10" spans="1:4" x14ac:dyDescent="0.3">
      <c r="A10" s="16" t="s">
        <v>6</v>
      </c>
      <c r="B10" s="60" t="s">
        <v>28</v>
      </c>
      <c r="C10" s="13">
        <v>50000</v>
      </c>
      <c r="D10" s="16"/>
    </row>
    <row r="11" spans="1:4" ht="19.5" customHeight="1" x14ac:dyDescent="0.3">
      <c r="A11" s="64" t="s">
        <v>7</v>
      </c>
      <c r="B11" s="64"/>
      <c r="C11" s="64"/>
      <c r="D11" s="64"/>
    </row>
    <row r="12" spans="1:4" x14ac:dyDescent="0.3">
      <c r="A12" s="14" t="s">
        <v>33</v>
      </c>
      <c r="B12" s="99" t="s">
        <v>29</v>
      </c>
      <c r="C12" s="100">
        <v>140000</v>
      </c>
      <c r="D12" s="14"/>
    </row>
    <row r="13" spans="1:4" x14ac:dyDescent="0.3">
      <c r="A13" s="14" t="s">
        <v>30</v>
      </c>
      <c r="B13" s="99"/>
      <c r="C13" s="100"/>
      <c r="D13" s="14"/>
    </row>
    <row r="14" spans="1:4" x14ac:dyDescent="0.3">
      <c r="A14" s="16" t="s">
        <v>34</v>
      </c>
      <c r="B14" s="92" t="s">
        <v>37</v>
      </c>
      <c r="C14" s="93">
        <v>110000</v>
      </c>
      <c r="D14" s="16"/>
    </row>
    <row r="15" spans="1:4" x14ac:dyDescent="0.3">
      <c r="A15" s="16" t="s">
        <v>36</v>
      </c>
      <c r="B15" s="92"/>
      <c r="C15" s="93"/>
      <c r="D15" s="16"/>
    </row>
    <row r="16" spans="1:4" x14ac:dyDescent="0.3">
      <c r="A16" s="16" t="s">
        <v>35</v>
      </c>
      <c r="B16" s="92"/>
      <c r="C16" s="93"/>
      <c r="D16" s="16"/>
    </row>
    <row r="17" spans="1:4" x14ac:dyDescent="0.3">
      <c r="A17" s="17" t="s">
        <v>38</v>
      </c>
      <c r="B17" s="94" t="s">
        <v>40</v>
      </c>
      <c r="C17" s="95">
        <v>140000</v>
      </c>
      <c r="D17" s="17"/>
    </row>
    <row r="18" spans="1:4" x14ac:dyDescent="0.3">
      <c r="A18" s="17" t="s">
        <v>39</v>
      </c>
      <c r="B18" s="94"/>
      <c r="C18" s="95"/>
      <c r="D18" s="17"/>
    </row>
    <row r="19" spans="1:4" x14ac:dyDescent="0.3">
      <c r="A19" s="17" t="s">
        <v>42</v>
      </c>
      <c r="B19" s="94"/>
      <c r="C19" s="95"/>
      <c r="D19" s="17"/>
    </row>
    <row r="20" spans="1:4" x14ac:dyDescent="0.3">
      <c r="A20" s="16" t="s">
        <v>43</v>
      </c>
      <c r="B20" s="92" t="s">
        <v>41</v>
      </c>
      <c r="C20" s="105">
        <v>150000</v>
      </c>
      <c r="D20" s="16"/>
    </row>
    <row r="21" spans="1:4" x14ac:dyDescent="0.3">
      <c r="A21" s="16" t="s">
        <v>44</v>
      </c>
      <c r="B21" s="92"/>
      <c r="C21" s="105"/>
      <c r="D21" s="16"/>
    </row>
    <row r="22" spans="1:4" x14ac:dyDescent="0.3">
      <c r="A22" s="64" t="s">
        <v>64</v>
      </c>
      <c r="B22" s="64"/>
      <c r="C22" s="64"/>
      <c r="D22" s="64"/>
    </row>
    <row r="23" spans="1:4" x14ac:dyDescent="0.3">
      <c r="A23" s="29" t="s">
        <v>45</v>
      </c>
      <c r="B23" s="106" t="s">
        <v>49</v>
      </c>
      <c r="C23" s="107">
        <v>170000</v>
      </c>
      <c r="D23" s="29"/>
    </row>
    <row r="24" spans="1:4" x14ac:dyDescent="0.3">
      <c r="A24" s="29" t="s">
        <v>46</v>
      </c>
      <c r="B24" s="106"/>
      <c r="C24" s="107"/>
      <c r="D24" s="29"/>
    </row>
    <row r="25" spans="1:4" x14ac:dyDescent="0.3">
      <c r="A25" s="29" t="s">
        <v>47</v>
      </c>
      <c r="B25" s="106"/>
      <c r="C25" s="107"/>
      <c r="D25" s="29"/>
    </row>
    <row r="26" spans="1:4" x14ac:dyDescent="0.3">
      <c r="A26" s="29" t="s">
        <v>48</v>
      </c>
      <c r="B26" s="106"/>
      <c r="C26" s="107"/>
      <c r="D26" s="29"/>
    </row>
    <row r="27" spans="1:4" x14ac:dyDescent="0.3">
      <c r="A27" s="53" t="s">
        <v>8</v>
      </c>
      <c r="B27" s="101" t="s">
        <v>50</v>
      </c>
      <c r="C27" s="102">
        <v>180000</v>
      </c>
      <c r="D27" s="53"/>
    </row>
    <row r="28" spans="1:4" x14ac:dyDescent="0.3">
      <c r="A28" s="53" t="s">
        <v>58</v>
      </c>
      <c r="B28" s="101"/>
      <c r="C28" s="102"/>
      <c r="D28" s="53"/>
    </row>
    <row r="29" spans="1:4" x14ac:dyDescent="0.3">
      <c r="A29" s="67" t="s">
        <v>51</v>
      </c>
      <c r="B29" s="103" t="s">
        <v>52</v>
      </c>
      <c r="C29" s="104">
        <v>150000</v>
      </c>
      <c r="D29" s="67"/>
    </row>
    <row r="30" spans="1:4" x14ac:dyDescent="0.3">
      <c r="A30" s="67" t="s">
        <v>9</v>
      </c>
      <c r="B30" s="103"/>
      <c r="C30" s="104"/>
      <c r="D30" s="67"/>
    </row>
    <row r="31" spans="1:4" x14ac:dyDescent="0.3">
      <c r="A31" s="68" t="s">
        <v>55</v>
      </c>
      <c r="B31" s="109" t="s">
        <v>56</v>
      </c>
      <c r="C31" s="110">
        <v>90000</v>
      </c>
      <c r="D31" s="68"/>
    </row>
    <row r="32" spans="1:4" x14ac:dyDescent="0.3">
      <c r="A32" s="68" t="s">
        <v>54</v>
      </c>
      <c r="B32" s="109"/>
      <c r="C32" s="110"/>
      <c r="D32" s="68"/>
    </row>
    <row r="33" spans="1:4" x14ac:dyDescent="0.3">
      <c r="A33" s="30" t="s">
        <v>53</v>
      </c>
      <c r="B33" s="111" t="s">
        <v>59</v>
      </c>
      <c r="C33" s="112">
        <v>140000</v>
      </c>
      <c r="D33" s="30"/>
    </row>
    <row r="34" spans="1:4" x14ac:dyDescent="0.3">
      <c r="A34" s="30" t="s">
        <v>10</v>
      </c>
      <c r="B34" s="111"/>
      <c r="C34" s="112"/>
      <c r="D34" s="30"/>
    </row>
    <row r="35" spans="1:4" x14ac:dyDescent="0.3">
      <c r="A35" s="30" t="s">
        <v>57</v>
      </c>
      <c r="B35" s="111"/>
      <c r="C35" s="112"/>
      <c r="D35" s="30"/>
    </row>
    <row r="36" spans="1:4" x14ac:dyDescent="0.3">
      <c r="A36" s="33" t="s">
        <v>60</v>
      </c>
      <c r="B36" s="96" t="s">
        <v>65</v>
      </c>
      <c r="C36" s="108">
        <v>60000</v>
      </c>
      <c r="D36" s="33"/>
    </row>
    <row r="37" spans="1:4" x14ac:dyDescent="0.3">
      <c r="A37" s="33" t="s">
        <v>61</v>
      </c>
      <c r="B37" s="96"/>
      <c r="C37" s="108"/>
      <c r="D37" s="33"/>
    </row>
    <row r="38" spans="1:4" x14ac:dyDescent="0.3">
      <c r="A38" s="33" t="s">
        <v>62</v>
      </c>
      <c r="B38" s="96"/>
      <c r="C38" s="108"/>
      <c r="D38" s="33"/>
    </row>
    <row r="39" spans="1:4" x14ac:dyDescent="0.3">
      <c r="A39" s="33" t="s">
        <v>63</v>
      </c>
      <c r="B39" s="96"/>
      <c r="C39" s="108"/>
      <c r="D39" s="33"/>
    </row>
    <row r="40" spans="1:4" ht="18" customHeight="1" x14ac:dyDescent="0.3">
      <c r="A40" s="64" t="s">
        <v>11</v>
      </c>
      <c r="B40" s="64"/>
      <c r="C40" s="64"/>
      <c r="D40" s="64"/>
    </row>
    <row r="41" spans="1:4" x14ac:dyDescent="0.3">
      <c r="A41" s="29" t="s">
        <v>68</v>
      </c>
      <c r="B41" s="106" t="s">
        <v>69</v>
      </c>
      <c r="C41" s="107">
        <v>60000</v>
      </c>
      <c r="D41" s="29"/>
    </row>
    <row r="42" spans="1:4" x14ac:dyDescent="0.3">
      <c r="A42" s="29" t="s">
        <v>67</v>
      </c>
      <c r="B42" s="106"/>
      <c r="C42" s="107"/>
      <c r="D42" s="29"/>
    </row>
    <row r="43" spans="1:4" x14ac:dyDescent="0.3">
      <c r="A43" s="29" t="s">
        <v>66</v>
      </c>
      <c r="B43" s="106"/>
      <c r="C43" s="107"/>
      <c r="D43" s="29"/>
    </row>
    <row r="44" spans="1:4" x14ac:dyDescent="0.3">
      <c r="A44" s="16" t="s">
        <v>70</v>
      </c>
      <c r="B44" s="92" t="s">
        <v>72</v>
      </c>
      <c r="C44" s="105">
        <v>110000</v>
      </c>
      <c r="D44" s="16"/>
    </row>
    <row r="45" spans="1:4" x14ac:dyDescent="0.3">
      <c r="A45" s="16" t="s">
        <v>71</v>
      </c>
      <c r="B45" s="92"/>
      <c r="C45" s="105"/>
      <c r="D45" s="16"/>
    </row>
    <row r="46" spans="1:4" x14ac:dyDescent="0.3">
      <c r="A46" s="30" t="s">
        <v>12</v>
      </c>
      <c r="B46" s="111" t="s">
        <v>75</v>
      </c>
      <c r="C46" s="112">
        <v>130000</v>
      </c>
      <c r="D46" s="30"/>
    </row>
    <row r="47" spans="1:4" x14ac:dyDescent="0.3">
      <c r="A47" s="30" t="s">
        <v>73</v>
      </c>
      <c r="B47" s="111"/>
      <c r="C47" s="112"/>
      <c r="D47" s="30"/>
    </row>
    <row r="48" spans="1:4" x14ac:dyDescent="0.3">
      <c r="A48" s="30" t="s">
        <v>74</v>
      </c>
      <c r="B48" s="111"/>
      <c r="C48" s="112"/>
      <c r="D48" s="30"/>
    </row>
    <row r="49" spans="1:4" x14ac:dyDescent="0.3">
      <c r="A49" s="14" t="s">
        <v>13</v>
      </c>
      <c r="B49" s="99" t="s">
        <v>82</v>
      </c>
      <c r="C49" s="113">
        <v>170000</v>
      </c>
      <c r="D49" s="14"/>
    </row>
    <row r="50" spans="1:4" x14ac:dyDescent="0.3">
      <c r="A50" s="14" t="s">
        <v>81</v>
      </c>
      <c r="B50" s="99"/>
      <c r="C50" s="113"/>
      <c r="D50" s="14"/>
    </row>
    <row r="51" spans="1:4" x14ac:dyDescent="0.3">
      <c r="A51" s="17" t="s">
        <v>77</v>
      </c>
      <c r="B51" s="94" t="s">
        <v>80</v>
      </c>
      <c r="C51" s="95">
        <v>170000</v>
      </c>
      <c r="D51" s="17"/>
    </row>
    <row r="52" spans="1:4" x14ac:dyDescent="0.3">
      <c r="A52" s="17" t="s">
        <v>78</v>
      </c>
      <c r="B52" s="94"/>
      <c r="C52" s="95"/>
      <c r="D52" s="17"/>
    </row>
    <row r="53" spans="1:4" x14ac:dyDescent="0.3">
      <c r="A53" s="17" t="s">
        <v>79</v>
      </c>
      <c r="B53" s="94"/>
      <c r="C53" s="95"/>
      <c r="D53" s="17"/>
    </row>
    <row r="54" spans="1:4" x14ac:dyDescent="0.3">
      <c r="A54" s="69" t="s">
        <v>14</v>
      </c>
      <c r="B54" s="61"/>
      <c r="C54" s="70">
        <v>150000</v>
      </c>
      <c r="D54" s="69"/>
    </row>
    <row r="55" spans="1:4" x14ac:dyDescent="0.3">
      <c r="A55" s="64" t="s">
        <v>15</v>
      </c>
      <c r="B55" s="64"/>
      <c r="C55" s="64"/>
      <c r="D55" s="64"/>
    </row>
    <row r="56" spans="1:4" x14ac:dyDescent="0.3">
      <c r="A56" s="33" t="s">
        <v>83</v>
      </c>
      <c r="B56" s="96" t="s">
        <v>101</v>
      </c>
      <c r="C56" s="108">
        <v>200000</v>
      </c>
      <c r="D56" s="33"/>
    </row>
    <row r="57" spans="1:4" x14ac:dyDescent="0.3">
      <c r="A57" s="33" t="s">
        <v>87</v>
      </c>
      <c r="B57" s="96"/>
      <c r="C57" s="108"/>
      <c r="D57" s="33"/>
    </row>
    <row r="58" spans="1:4" x14ac:dyDescent="0.3">
      <c r="A58" s="33" t="s">
        <v>84</v>
      </c>
      <c r="B58" s="96"/>
      <c r="C58" s="108"/>
      <c r="D58" s="33"/>
    </row>
    <row r="59" spans="1:4" x14ac:dyDescent="0.3">
      <c r="A59" s="33" t="s">
        <v>100</v>
      </c>
      <c r="B59" s="96"/>
      <c r="C59" s="108"/>
      <c r="D59" s="33"/>
    </row>
    <row r="60" spans="1:4" x14ac:dyDescent="0.3">
      <c r="A60" s="34" t="s">
        <v>19</v>
      </c>
      <c r="B60" s="114" t="s">
        <v>104</v>
      </c>
      <c r="C60" s="115">
        <v>190000</v>
      </c>
      <c r="D60" s="34"/>
    </row>
    <row r="61" spans="1:4" x14ac:dyDescent="0.3">
      <c r="A61" s="34" t="s">
        <v>102</v>
      </c>
      <c r="B61" s="114"/>
      <c r="C61" s="115"/>
      <c r="D61" s="34"/>
    </row>
    <row r="62" spans="1:4" x14ac:dyDescent="0.3">
      <c r="A62" s="34" t="s">
        <v>103</v>
      </c>
      <c r="B62" s="114"/>
      <c r="C62" s="115"/>
      <c r="D62" s="34"/>
    </row>
    <row r="63" spans="1:4" x14ac:dyDescent="0.3">
      <c r="A63" s="30" t="s">
        <v>91</v>
      </c>
      <c r="B63" s="111" t="s">
        <v>106</v>
      </c>
      <c r="C63" s="112">
        <v>220000</v>
      </c>
      <c r="D63" s="30"/>
    </row>
    <row r="64" spans="1:4" x14ac:dyDescent="0.3">
      <c r="A64" s="30" t="s">
        <v>105</v>
      </c>
      <c r="B64" s="111"/>
      <c r="C64" s="112"/>
      <c r="D64" s="30"/>
    </row>
    <row r="65" spans="1:4" x14ac:dyDescent="0.3">
      <c r="A65" s="29" t="s">
        <v>16</v>
      </c>
      <c r="B65" s="106" t="s">
        <v>137</v>
      </c>
      <c r="C65" s="107">
        <v>190000</v>
      </c>
      <c r="D65" s="29"/>
    </row>
    <row r="66" spans="1:4" x14ac:dyDescent="0.3">
      <c r="A66" s="29" t="s">
        <v>90</v>
      </c>
      <c r="B66" s="106"/>
      <c r="C66" s="107"/>
      <c r="D66" s="29"/>
    </row>
    <row r="67" spans="1:4" x14ac:dyDescent="0.3">
      <c r="A67" s="29" t="s">
        <v>107</v>
      </c>
      <c r="B67" s="106"/>
      <c r="C67" s="107"/>
      <c r="D67" s="29"/>
    </row>
    <row r="68" spans="1:4" x14ac:dyDescent="0.3">
      <c r="A68" s="30" t="s">
        <v>89</v>
      </c>
      <c r="B68" s="111" t="s">
        <v>109</v>
      </c>
      <c r="C68" s="112">
        <v>180000</v>
      </c>
      <c r="D68" s="30"/>
    </row>
    <row r="69" spans="1:4" x14ac:dyDescent="0.3">
      <c r="A69" s="30" t="s">
        <v>85</v>
      </c>
      <c r="B69" s="111"/>
      <c r="C69" s="112"/>
      <c r="D69" s="30"/>
    </row>
    <row r="70" spans="1:4" x14ac:dyDescent="0.3">
      <c r="A70" s="30" t="s">
        <v>17</v>
      </c>
      <c r="B70" s="111"/>
      <c r="C70" s="112"/>
      <c r="D70" s="30"/>
    </row>
    <row r="71" spans="1:4" x14ac:dyDescent="0.3">
      <c r="A71" s="17" t="s">
        <v>86</v>
      </c>
      <c r="B71" s="94" t="s">
        <v>110</v>
      </c>
      <c r="C71" s="95">
        <v>230000</v>
      </c>
      <c r="D71" s="17"/>
    </row>
    <row r="72" spans="1:4" x14ac:dyDescent="0.3">
      <c r="A72" s="17" t="s">
        <v>88</v>
      </c>
      <c r="B72" s="94"/>
      <c r="C72" s="95"/>
      <c r="D72" s="17"/>
    </row>
    <row r="73" spans="1:4" x14ac:dyDescent="0.3">
      <c r="A73" s="14" t="s">
        <v>111</v>
      </c>
      <c r="B73" s="99" t="s">
        <v>112</v>
      </c>
      <c r="C73" s="113">
        <v>160000</v>
      </c>
      <c r="D73" s="14"/>
    </row>
    <row r="74" spans="1:4" x14ac:dyDescent="0.3">
      <c r="A74" s="14" t="s">
        <v>18</v>
      </c>
      <c r="B74" s="99"/>
      <c r="C74" s="113"/>
      <c r="D74" s="14"/>
    </row>
    <row r="75" spans="1:4" x14ac:dyDescent="0.3">
      <c r="A75" s="64" t="s">
        <v>20</v>
      </c>
      <c r="B75" s="64"/>
      <c r="C75" s="64"/>
      <c r="D75" s="64"/>
    </row>
    <row r="76" spans="1:4" x14ac:dyDescent="0.3">
      <c r="A76" s="53" t="s">
        <v>21</v>
      </c>
      <c r="B76" s="101" t="s">
        <v>96</v>
      </c>
      <c r="C76" s="102">
        <v>170000</v>
      </c>
      <c r="D76" s="53"/>
    </row>
    <row r="77" spans="1:4" x14ac:dyDescent="0.3">
      <c r="A77" s="53" t="s">
        <v>93</v>
      </c>
      <c r="B77" s="101"/>
      <c r="C77" s="102"/>
      <c r="D77" s="53"/>
    </row>
    <row r="78" spans="1:4" x14ac:dyDescent="0.3">
      <c r="A78" s="30" t="s">
        <v>92</v>
      </c>
      <c r="B78" s="111" t="s">
        <v>97</v>
      </c>
      <c r="C78" s="112">
        <v>210000</v>
      </c>
      <c r="D78" s="30"/>
    </row>
    <row r="79" spans="1:4" x14ac:dyDescent="0.3">
      <c r="A79" s="30" t="s">
        <v>22</v>
      </c>
      <c r="B79" s="111"/>
      <c r="C79" s="112"/>
      <c r="D79" s="30"/>
    </row>
    <row r="80" spans="1:4" x14ac:dyDescent="0.3">
      <c r="A80" s="14" t="s">
        <v>94</v>
      </c>
      <c r="B80" s="99" t="s">
        <v>98</v>
      </c>
      <c r="C80" s="113">
        <v>200000</v>
      </c>
      <c r="D80" s="14"/>
    </row>
    <row r="81" spans="1:4" x14ac:dyDescent="0.3">
      <c r="A81" s="14" t="s">
        <v>25</v>
      </c>
      <c r="B81" s="99"/>
      <c r="C81" s="113"/>
      <c r="D81" s="14"/>
    </row>
    <row r="82" spans="1:4" x14ac:dyDescent="0.3">
      <c r="A82" s="14" t="s">
        <v>95</v>
      </c>
      <c r="B82" s="99"/>
      <c r="C82" s="113"/>
      <c r="D82" s="14"/>
    </row>
    <row r="83" spans="1:4" x14ac:dyDescent="0.3">
      <c r="A83" s="17" t="s">
        <v>23</v>
      </c>
      <c r="B83" s="94" t="s">
        <v>99</v>
      </c>
      <c r="C83" s="95">
        <v>230000</v>
      </c>
      <c r="D83" s="17"/>
    </row>
    <row r="84" spans="1:4" x14ac:dyDescent="0.3">
      <c r="A84" s="17" t="s">
        <v>24</v>
      </c>
      <c r="B84" s="94"/>
      <c r="C84" s="95"/>
      <c r="D84" s="17"/>
    </row>
  </sheetData>
  <mergeCells count="56">
    <mergeCell ref="B83:B84"/>
    <mergeCell ref="C83:C84"/>
    <mergeCell ref="A2:C2"/>
    <mergeCell ref="A3:C3"/>
    <mergeCell ref="B78:B79"/>
    <mergeCell ref="C78:C79"/>
    <mergeCell ref="B80:B82"/>
    <mergeCell ref="C80:C82"/>
    <mergeCell ref="B73:B74"/>
    <mergeCell ref="C73:C74"/>
    <mergeCell ref="B76:B77"/>
    <mergeCell ref="C76:C77"/>
    <mergeCell ref="B68:B70"/>
    <mergeCell ref="C68:C70"/>
    <mergeCell ref="B71:B72"/>
    <mergeCell ref="C71:C72"/>
    <mergeCell ref="B63:B64"/>
    <mergeCell ref="C63:C64"/>
    <mergeCell ref="B65:B67"/>
    <mergeCell ref="C65:C67"/>
    <mergeCell ref="B56:B59"/>
    <mergeCell ref="C56:C59"/>
    <mergeCell ref="B60:B62"/>
    <mergeCell ref="C60:C62"/>
    <mergeCell ref="B49:B50"/>
    <mergeCell ref="C49:C50"/>
    <mergeCell ref="B51:B53"/>
    <mergeCell ref="C51:C53"/>
    <mergeCell ref="B44:B45"/>
    <mergeCell ref="C44:C45"/>
    <mergeCell ref="B46:B48"/>
    <mergeCell ref="C46:C48"/>
    <mergeCell ref="B36:B39"/>
    <mergeCell ref="C36:C39"/>
    <mergeCell ref="B41:B43"/>
    <mergeCell ref="C41:C43"/>
    <mergeCell ref="B31:B32"/>
    <mergeCell ref="C31:C32"/>
    <mergeCell ref="B33:B35"/>
    <mergeCell ref="C33:C35"/>
    <mergeCell ref="B27:B28"/>
    <mergeCell ref="C27:C28"/>
    <mergeCell ref="B29:B30"/>
    <mergeCell ref="C29:C30"/>
    <mergeCell ref="B20:B21"/>
    <mergeCell ref="C20:C21"/>
    <mergeCell ref="B23:B26"/>
    <mergeCell ref="C23:C26"/>
    <mergeCell ref="B14:B16"/>
    <mergeCell ref="C14:C16"/>
    <mergeCell ref="B17:B19"/>
    <mergeCell ref="C17:C19"/>
    <mergeCell ref="B7:B9"/>
    <mergeCell ref="C7:C9"/>
    <mergeCell ref="B12:B13"/>
    <mergeCell ref="C12:C1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9" sqref="A9"/>
    </sheetView>
  </sheetViews>
  <sheetFormatPr defaultRowHeight="18.75" x14ac:dyDescent="0.3"/>
  <cols>
    <col min="1" max="1" width="36" bestFit="1" customWidth="1"/>
    <col min="2" max="2" width="7.5546875" bestFit="1" customWidth="1"/>
    <col min="3" max="3" width="13.109375" bestFit="1" customWidth="1"/>
    <col min="4" max="4" width="7" bestFit="1" customWidth="1"/>
    <col min="5" max="6" width="4" bestFit="1" customWidth="1"/>
    <col min="7" max="7" width="12" bestFit="1" customWidth="1"/>
    <col min="8" max="8" width="7" bestFit="1" customWidth="1"/>
  </cols>
  <sheetData>
    <row r="1" spans="1:8" x14ac:dyDescent="0.3">
      <c r="A1" s="2" t="s">
        <v>26</v>
      </c>
      <c r="B1" s="3"/>
      <c r="C1" s="3"/>
      <c r="D1" s="1"/>
    </row>
    <row r="2" spans="1:8" x14ac:dyDescent="0.3">
      <c r="A2" s="27" t="s">
        <v>113</v>
      </c>
      <c r="C2" s="130" t="s">
        <v>116</v>
      </c>
      <c r="D2" s="131">
        <v>450000</v>
      </c>
      <c r="E2">
        <v>126</v>
      </c>
      <c r="F2" s="119">
        <f>AVERAGE(E2:E4)</f>
        <v>117.66666666666667</v>
      </c>
      <c r="G2" s="122">
        <f>D2/F2</f>
        <v>3824.3626062322946</v>
      </c>
      <c r="H2" s="125">
        <f>20000*F2*0.2</f>
        <v>470666.66666666674</v>
      </c>
    </row>
    <row r="3" spans="1:8" x14ac:dyDescent="0.3">
      <c r="A3" s="27" t="s">
        <v>114</v>
      </c>
      <c r="C3" s="130"/>
      <c r="D3" s="131"/>
      <c r="E3">
        <v>121</v>
      </c>
      <c r="F3" s="120"/>
      <c r="G3" s="123"/>
      <c r="H3" s="126"/>
    </row>
    <row r="4" spans="1:8" x14ac:dyDescent="0.3">
      <c r="A4" s="27" t="s">
        <v>115</v>
      </c>
      <c r="C4" s="130"/>
      <c r="D4" s="131"/>
      <c r="E4">
        <v>106</v>
      </c>
      <c r="F4" s="121"/>
      <c r="G4" s="124"/>
      <c r="H4" s="127"/>
    </row>
    <row r="5" spans="1:8" x14ac:dyDescent="0.3">
      <c r="A5" s="27" t="s">
        <v>117</v>
      </c>
      <c r="C5" s="118" t="s">
        <v>120</v>
      </c>
      <c r="D5" s="118">
        <v>410000</v>
      </c>
      <c r="E5">
        <v>98</v>
      </c>
      <c r="F5" s="119">
        <f>AVERAGE(E5:E7)</f>
        <v>107</v>
      </c>
      <c r="G5" s="122">
        <f>D5/F5</f>
        <v>3831.7757009345796</v>
      </c>
      <c r="H5" s="125">
        <f>20000*F5*0.2</f>
        <v>428000</v>
      </c>
    </row>
    <row r="6" spans="1:8" x14ac:dyDescent="0.3">
      <c r="A6" s="27" t="s">
        <v>118</v>
      </c>
      <c r="C6" s="118"/>
      <c r="D6" s="118"/>
      <c r="E6">
        <v>110</v>
      </c>
      <c r="F6" s="120"/>
      <c r="G6" s="123"/>
      <c r="H6" s="126"/>
    </row>
    <row r="7" spans="1:8" x14ac:dyDescent="0.3">
      <c r="A7" s="27" t="s">
        <v>119</v>
      </c>
      <c r="B7" s="28">
        <v>240000</v>
      </c>
      <c r="C7" s="118"/>
      <c r="D7" s="118"/>
      <c r="E7">
        <v>113</v>
      </c>
      <c r="F7" s="121"/>
      <c r="G7" s="124"/>
      <c r="H7" s="127"/>
    </row>
    <row r="8" spans="1:8" x14ac:dyDescent="0.3">
      <c r="A8" s="27" t="s">
        <v>121</v>
      </c>
      <c r="B8" s="4"/>
      <c r="C8" s="118" t="s">
        <v>123</v>
      </c>
      <c r="D8" s="118">
        <v>480000</v>
      </c>
      <c r="E8">
        <v>119</v>
      </c>
      <c r="F8" s="119">
        <f>AVERAGE(E8:E9)</f>
        <v>123.5</v>
      </c>
      <c r="G8" s="128">
        <f>D8/F8</f>
        <v>3886.6396761133601</v>
      </c>
      <c r="H8" s="125">
        <f>20000*F8*0.2</f>
        <v>494000</v>
      </c>
    </row>
    <row r="9" spans="1:8" x14ac:dyDescent="0.3">
      <c r="A9" s="27" t="s">
        <v>122</v>
      </c>
      <c r="C9" s="118"/>
      <c r="D9" s="118"/>
      <c r="E9">
        <v>128</v>
      </c>
      <c r="F9" s="121"/>
      <c r="G9" s="129"/>
      <c r="H9" s="127"/>
    </row>
    <row r="10" spans="1:8" x14ac:dyDescent="0.3">
      <c r="A10" s="27" t="s">
        <v>127</v>
      </c>
      <c r="C10" s="118" t="s">
        <v>126</v>
      </c>
      <c r="D10" s="118">
        <v>520000</v>
      </c>
      <c r="E10">
        <v>138</v>
      </c>
      <c r="F10" s="119">
        <f>AVERAGE(E10:E12)</f>
        <v>134.33333333333334</v>
      </c>
      <c r="G10" s="122">
        <f>D10/F10</f>
        <v>3870.9677419354834</v>
      </c>
      <c r="H10" s="125">
        <f>20000*F10*0.2</f>
        <v>537333.33333333337</v>
      </c>
    </row>
    <row r="11" spans="1:8" x14ac:dyDescent="0.3">
      <c r="A11" s="27" t="s">
        <v>128</v>
      </c>
      <c r="C11" s="118"/>
      <c r="D11" s="118"/>
      <c r="E11">
        <v>135</v>
      </c>
      <c r="F11" s="120"/>
      <c r="G11" s="123"/>
      <c r="H11" s="126"/>
    </row>
    <row r="12" spans="1:8" x14ac:dyDescent="0.3">
      <c r="A12" s="27" t="s">
        <v>129</v>
      </c>
      <c r="C12" s="118"/>
      <c r="D12" s="118"/>
      <c r="E12">
        <v>130</v>
      </c>
      <c r="F12" s="121"/>
      <c r="G12" s="124"/>
      <c r="H12" s="127"/>
    </row>
    <row r="13" spans="1:8" x14ac:dyDescent="0.3">
      <c r="A13" s="27" t="s">
        <v>124</v>
      </c>
      <c r="C13" s="118" t="s">
        <v>130</v>
      </c>
      <c r="D13" s="118">
        <v>610000</v>
      </c>
      <c r="E13">
        <v>154</v>
      </c>
      <c r="F13" s="119">
        <f>AVERAGE(E13:E14)</f>
        <v>157.5</v>
      </c>
      <c r="G13" s="128">
        <f>D13/F13</f>
        <v>3873.0158730158732</v>
      </c>
      <c r="H13" s="125">
        <f>20000*F13*0.2</f>
        <v>630000</v>
      </c>
    </row>
    <row r="14" spans="1:8" x14ac:dyDescent="0.3">
      <c r="A14" s="27" t="s">
        <v>125</v>
      </c>
      <c r="C14" s="118"/>
      <c r="D14" s="118"/>
      <c r="E14">
        <v>161</v>
      </c>
      <c r="F14" s="121"/>
      <c r="G14" s="129"/>
      <c r="H14" s="127"/>
    </row>
    <row r="16" spans="1:8" x14ac:dyDescent="0.3">
      <c r="A16" s="3" t="s">
        <v>27</v>
      </c>
      <c r="B16" s="4">
        <v>240000</v>
      </c>
      <c r="C16" s="3"/>
      <c r="D16" s="1"/>
    </row>
  </sheetData>
  <mergeCells count="25">
    <mergeCell ref="D13:D14"/>
    <mergeCell ref="C8:C9"/>
    <mergeCell ref="D8:D9"/>
    <mergeCell ref="C13:C14"/>
    <mergeCell ref="F10:F12"/>
    <mergeCell ref="C10:C12"/>
    <mergeCell ref="D10:D12"/>
    <mergeCell ref="F13:F14"/>
    <mergeCell ref="C2:C4"/>
    <mergeCell ref="D2:D4"/>
    <mergeCell ref="F2:F4"/>
    <mergeCell ref="G2:G4"/>
    <mergeCell ref="H2:H4"/>
    <mergeCell ref="G13:G14"/>
    <mergeCell ref="F8:F9"/>
    <mergeCell ref="G8:G9"/>
    <mergeCell ref="H8:H9"/>
    <mergeCell ref="H10:H12"/>
    <mergeCell ref="H13:H14"/>
    <mergeCell ref="G10:G12"/>
    <mergeCell ref="C5:C7"/>
    <mergeCell ref="F5:F7"/>
    <mergeCell ref="G5:G7"/>
    <mergeCell ref="H5:H7"/>
    <mergeCell ref="D5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topLeftCell="A69" workbookViewId="0">
      <selection activeCell="C79" sqref="C79:C80"/>
    </sheetView>
  </sheetViews>
  <sheetFormatPr defaultRowHeight="18.75" x14ac:dyDescent="0.3"/>
  <cols>
    <col min="1" max="1" width="22.77734375" customWidth="1"/>
    <col min="2" max="2" width="7.5546875" bestFit="1" customWidth="1"/>
    <col min="3" max="3" width="16.88671875" style="5" customWidth="1"/>
    <col min="4" max="4" width="8.77734375" style="37" customWidth="1"/>
    <col min="5" max="5" width="5.5546875" style="5" bestFit="1" customWidth="1"/>
    <col min="6" max="6" width="6.5546875" style="5" customWidth="1"/>
    <col min="7" max="7" width="8.88671875" style="37"/>
    <col min="8" max="8" width="7.88671875" style="37" customWidth="1"/>
  </cols>
  <sheetData>
    <row r="1" spans="1:9" ht="56.25" x14ac:dyDescent="0.3">
      <c r="A1" s="7" t="s">
        <v>31</v>
      </c>
      <c r="B1" s="59" t="s">
        <v>132</v>
      </c>
      <c r="C1" s="7" t="s">
        <v>32</v>
      </c>
      <c r="D1" s="7" t="s">
        <v>0</v>
      </c>
      <c r="E1" s="8" t="s">
        <v>134</v>
      </c>
      <c r="F1" s="8" t="s">
        <v>133</v>
      </c>
      <c r="G1" s="8" t="s">
        <v>76</v>
      </c>
      <c r="H1" s="38" t="s">
        <v>131</v>
      </c>
    </row>
    <row r="2" spans="1:9" x14ac:dyDescent="0.3">
      <c r="A2" s="64" t="s">
        <v>1</v>
      </c>
      <c r="B2" s="64"/>
      <c r="C2" s="64"/>
      <c r="D2" s="64"/>
      <c r="E2" s="64"/>
      <c r="F2" s="64"/>
      <c r="G2" s="64"/>
      <c r="H2" s="64"/>
    </row>
    <row r="3" spans="1:9" x14ac:dyDescent="0.3">
      <c r="A3" s="9" t="s">
        <v>2</v>
      </c>
      <c r="B3" s="10">
        <v>120000</v>
      </c>
      <c r="C3" s="96" t="s">
        <v>3</v>
      </c>
      <c r="D3" s="177">
        <v>100000</v>
      </c>
      <c r="E3" s="39">
        <v>19</v>
      </c>
      <c r="F3" s="174">
        <f>AVERAGE(E3:E5)</f>
        <v>33</v>
      </c>
      <c r="G3" s="148">
        <f>D3/F3</f>
        <v>3030.3030303030305</v>
      </c>
      <c r="H3" s="148">
        <f>20000*F3*0.2</f>
        <v>132000</v>
      </c>
    </row>
    <row r="4" spans="1:9" x14ac:dyDescent="0.3">
      <c r="A4" s="11" t="s">
        <v>4</v>
      </c>
      <c r="B4" s="10">
        <v>160000</v>
      </c>
      <c r="C4" s="96"/>
      <c r="D4" s="178"/>
      <c r="E4" s="39">
        <v>48</v>
      </c>
      <c r="F4" s="174"/>
      <c r="G4" s="148"/>
      <c r="H4" s="148"/>
      <c r="I4">
        <f>IF(AND(F3&gt;=70,F3&lt;90),60%*H3,IF(AND(F3&gt;=50,F3&lt;70),70%*H3,IF(AND(F3&gt;=30,F3&lt;50),H3*80%,50%*H3)))</f>
        <v>105600</v>
      </c>
    </row>
    <row r="5" spans="1:9" x14ac:dyDescent="0.3">
      <c r="A5" s="11" t="s">
        <v>5</v>
      </c>
      <c r="B5" s="10">
        <v>160000</v>
      </c>
      <c r="C5" s="96"/>
      <c r="D5" s="178"/>
      <c r="E5" s="39">
        <v>32</v>
      </c>
      <c r="F5" s="174"/>
      <c r="G5" s="148"/>
      <c r="H5" s="148"/>
    </row>
    <row r="6" spans="1:9" x14ac:dyDescent="0.3">
      <c r="A6" s="12" t="s">
        <v>6</v>
      </c>
      <c r="B6" s="13">
        <v>100000</v>
      </c>
      <c r="C6" s="60" t="s">
        <v>28</v>
      </c>
      <c r="D6" s="36">
        <v>50000</v>
      </c>
      <c r="E6" s="40">
        <v>20</v>
      </c>
      <c r="F6" s="40">
        <v>20</v>
      </c>
      <c r="G6" s="41">
        <f>D6/F6</f>
        <v>2500</v>
      </c>
      <c r="H6" s="41">
        <f>20000*F6*0.2</f>
        <v>80000</v>
      </c>
      <c r="I6">
        <f>IF(F6&lt;30,50%*H6,H6)</f>
        <v>40000</v>
      </c>
    </row>
    <row r="7" spans="1:9" ht="19.5" customHeight="1" x14ac:dyDescent="0.3">
      <c r="A7" s="64" t="s">
        <v>7</v>
      </c>
      <c r="B7" s="64"/>
      <c r="C7" s="64"/>
      <c r="D7" s="64"/>
      <c r="E7" s="64"/>
      <c r="F7" s="64"/>
      <c r="G7" s="64"/>
      <c r="H7" s="64"/>
    </row>
    <row r="8" spans="1:9" x14ac:dyDescent="0.3">
      <c r="A8" s="14" t="s">
        <v>33</v>
      </c>
      <c r="B8" s="15">
        <v>200000</v>
      </c>
      <c r="C8" s="99" t="s">
        <v>29</v>
      </c>
      <c r="D8" s="179">
        <v>140000</v>
      </c>
      <c r="E8" s="42">
        <v>43</v>
      </c>
      <c r="F8" s="175">
        <f>ROUND(AVERAGE(E8:E9),0)</f>
        <v>44</v>
      </c>
      <c r="G8" s="141">
        <f>D8/F8</f>
        <v>3181.818181818182</v>
      </c>
      <c r="H8" s="141">
        <f>20000*F8*0.2</f>
        <v>176000</v>
      </c>
    </row>
    <row r="9" spans="1:9" x14ac:dyDescent="0.3">
      <c r="A9" s="14" t="s">
        <v>30</v>
      </c>
      <c r="B9" s="15"/>
      <c r="C9" s="99"/>
      <c r="D9" s="179"/>
      <c r="E9" s="42">
        <v>45</v>
      </c>
      <c r="F9" s="175"/>
      <c r="G9" s="141"/>
      <c r="H9" s="141"/>
      <c r="I9">
        <f>IF(AND(F8&gt;=70,F8&lt;90),60%*H8,IF(AND(F8&gt;=50,F8&lt;70),70%*H8,IF(AND(F8&gt;=30,F8&lt;50),H8*80%,50%*H8)))</f>
        <v>140800</v>
      </c>
    </row>
    <row r="10" spans="1:9" x14ac:dyDescent="0.3">
      <c r="A10" s="16" t="s">
        <v>34</v>
      </c>
      <c r="B10" s="13">
        <v>80000</v>
      </c>
      <c r="C10" s="92" t="s">
        <v>37</v>
      </c>
      <c r="D10" s="181">
        <v>110000</v>
      </c>
      <c r="E10" s="40">
        <v>29</v>
      </c>
      <c r="F10" s="176">
        <f>ROUND(AVERAGE(E10:E12),0)</f>
        <v>37</v>
      </c>
      <c r="G10" s="160">
        <f>D10/F10</f>
        <v>2972.9729729729729</v>
      </c>
      <c r="H10" s="160">
        <f>20000*F10*0.2</f>
        <v>148000</v>
      </c>
    </row>
    <row r="11" spans="1:9" x14ac:dyDescent="0.3">
      <c r="A11" s="16" t="s">
        <v>36</v>
      </c>
      <c r="B11" s="13">
        <v>120000</v>
      </c>
      <c r="C11" s="92"/>
      <c r="D11" s="181"/>
      <c r="E11" s="40">
        <v>44</v>
      </c>
      <c r="F11" s="176"/>
      <c r="G11" s="160"/>
      <c r="H11" s="160"/>
      <c r="I11">
        <f>IF(F10&lt;30,50%*H10,IF(AND(F10&gt;=30,F10&lt;50),H10*80%))</f>
        <v>118400</v>
      </c>
    </row>
    <row r="12" spans="1:9" x14ac:dyDescent="0.3">
      <c r="A12" s="16" t="s">
        <v>35</v>
      </c>
      <c r="B12" s="13"/>
      <c r="C12" s="92"/>
      <c r="D12" s="181"/>
      <c r="E12" s="40">
        <v>39</v>
      </c>
      <c r="F12" s="176"/>
      <c r="G12" s="160"/>
      <c r="H12" s="160"/>
    </row>
    <row r="13" spans="1:9" x14ac:dyDescent="0.3">
      <c r="A13" s="17" t="s">
        <v>38</v>
      </c>
      <c r="B13" s="18">
        <v>160000</v>
      </c>
      <c r="C13" s="94" t="s">
        <v>40</v>
      </c>
      <c r="D13" s="150">
        <v>140000</v>
      </c>
      <c r="E13" s="43">
        <v>45</v>
      </c>
      <c r="F13" s="180">
        <f>ROUND(AVERAGE(E13:E15),0)</f>
        <v>44</v>
      </c>
      <c r="G13" s="133">
        <f>D13/F13</f>
        <v>3181.818181818182</v>
      </c>
      <c r="H13" s="133">
        <f>20000*F13*0.2</f>
        <v>176000</v>
      </c>
    </row>
    <row r="14" spans="1:9" x14ac:dyDescent="0.3">
      <c r="A14" s="17" t="s">
        <v>39</v>
      </c>
      <c r="B14" s="18"/>
      <c r="C14" s="94"/>
      <c r="D14" s="150"/>
      <c r="E14" s="43">
        <v>43</v>
      </c>
      <c r="F14" s="180"/>
      <c r="G14" s="133"/>
      <c r="H14" s="133"/>
      <c r="I14">
        <f>IF(F13&lt;30,50%*H13,IF(AND(F13&gt;=30,F13&lt;50),H13*80%))</f>
        <v>140800</v>
      </c>
    </row>
    <row r="15" spans="1:9" x14ac:dyDescent="0.3">
      <c r="A15" s="17" t="s">
        <v>42</v>
      </c>
      <c r="B15" s="18">
        <v>200000</v>
      </c>
      <c r="C15" s="94"/>
      <c r="D15" s="150"/>
      <c r="E15" s="43">
        <v>45</v>
      </c>
      <c r="F15" s="180"/>
      <c r="G15" s="133"/>
      <c r="H15" s="133"/>
    </row>
    <row r="16" spans="1:9" x14ac:dyDescent="0.3">
      <c r="A16" s="12" t="s">
        <v>43</v>
      </c>
      <c r="B16" s="13">
        <v>200000</v>
      </c>
      <c r="C16" s="92" t="s">
        <v>41</v>
      </c>
      <c r="D16" s="167">
        <v>150000</v>
      </c>
      <c r="E16" s="40">
        <v>51</v>
      </c>
      <c r="F16" s="176">
        <f>ROUND(AVERAGE(E16:E17),0)</f>
        <v>53</v>
      </c>
      <c r="G16" s="160">
        <f>D16/F16</f>
        <v>2830.1886792452829</v>
      </c>
      <c r="H16" s="160">
        <f>20000*F16*0.2</f>
        <v>212000</v>
      </c>
    </row>
    <row r="17" spans="1:9" x14ac:dyDescent="0.3">
      <c r="A17" s="12" t="s">
        <v>44</v>
      </c>
      <c r="B17" s="13"/>
      <c r="C17" s="92"/>
      <c r="D17" s="167"/>
      <c r="E17" s="40">
        <v>55</v>
      </c>
      <c r="F17" s="176"/>
      <c r="G17" s="160"/>
      <c r="H17" s="160"/>
      <c r="I17">
        <f>IF(AND(F16&gt;=70,F16&lt;90),60%*H16,IF(AND(F16&gt;=50,F16&lt;70),70%*H16,IF(AND(F16&gt;=30,F16&lt;50),H16*80%,50%*H16)))</f>
        <v>148400</v>
      </c>
    </row>
    <row r="18" spans="1:9" x14ac:dyDescent="0.3">
      <c r="A18" s="64" t="s">
        <v>64</v>
      </c>
      <c r="B18" s="64"/>
      <c r="C18" s="64"/>
      <c r="D18" s="64"/>
      <c r="E18" s="64"/>
      <c r="F18" s="64"/>
      <c r="G18" s="64"/>
      <c r="H18" s="64"/>
    </row>
    <row r="19" spans="1:9" x14ac:dyDescent="0.3">
      <c r="A19" s="19" t="s">
        <v>45</v>
      </c>
      <c r="B19" s="20">
        <v>200000</v>
      </c>
      <c r="C19" s="106" t="s">
        <v>49</v>
      </c>
      <c r="D19" s="155">
        <v>170000</v>
      </c>
      <c r="E19" s="44">
        <v>66</v>
      </c>
      <c r="F19" s="184">
        <f>AVERAGE(E19:E22)</f>
        <v>62</v>
      </c>
      <c r="G19" s="159">
        <f>D19/F19</f>
        <v>2741.9354838709678</v>
      </c>
      <c r="H19" s="159">
        <f>20000*F19*0.2</f>
        <v>248000</v>
      </c>
    </row>
    <row r="20" spans="1:9" x14ac:dyDescent="0.3">
      <c r="A20" s="19" t="s">
        <v>46</v>
      </c>
      <c r="B20" s="20">
        <v>200000</v>
      </c>
      <c r="C20" s="106"/>
      <c r="D20" s="155"/>
      <c r="E20" s="44">
        <v>62</v>
      </c>
      <c r="F20" s="184"/>
      <c r="G20" s="159"/>
      <c r="H20" s="159"/>
      <c r="I20">
        <f>IF(AND(F19&gt;=70,F19&lt;90),60%*H19,IF(AND(F19&gt;=50,F19&lt;70),70%*H19,IF(AND(F19&gt;=30,F19&lt;50),H19*80%,50%*H19)))</f>
        <v>173600</v>
      </c>
    </row>
    <row r="21" spans="1:9" x14ac:dyDescent="0.3">
      <c r="A21" s="19" t="s">
        <v>47</v>
      </c>
      <c r="B21" s="20"/>
      <c r="C21" s="106"/>
      <c r="D21" s="155"/>
      <c r="E21" s="44">
        <v>65</v>
      </c>
      <c r="F21" s="184"/>
      <c r="G21" s="159"/>
      <c r="H21" s="159"/>
    </row>
    <row r="22" spans="1:9" x14ac:dyDescent="0.3">
      <c r="A22" s="19" t="s">
        <v>48</v>
      </c>
      <c r="B22" s="20"/>
      <c r="C22" s="106"/>
      <c r="D22" s="155"/>
      <c r="E22" s="44">
        <v>55</v>
      </c>
      <c r="F22" s="184"/>
      <c r="G22" s="159"/>
      <c r="H22" s="159"/>
    </row>
    <row r="23" spans="1:9" x14ac:dyDescent="0.3">
      <c r="A23" s="58" t="s">
        <v>8</v>
      </c>
      <c r="B23" s="54">
        <v>200000</v>
      </c>
      <c r="C23" s="101" t="s">
        <v>50</v>
      </c>
      <c r="D23" s="162">
        <v>180000</v>
      </c>
      <c r="E23" s="57">
        <v>70</v>
      </c>
      <c r="F23" s="142">
        <f>AVERAGE(E23:E24)</f>
        <v>66.5</v>
      </c>
      <c r="G23" s="143">
        <f>D23/F23</f>
        <v>2706.7669172932333</v>
      </c>
      <c r="H23" s="143">
        <f>20000*F23*0.2</f>
        <v>266000</v>
      </c>
    </row>
    <row r="24" spans="1:9" x14ac:dyDescent="0.3">
      <c r="A24" s="58" t="s">
        <v>58</v>
      </c>
      <c r="B24" s="54">
        <v>160000</v>
      </c>
      <c r="C24" s="101"/>
      <c r="D24" s="162"/>
      <c r="E24" s="57">
        <v>63</v>
      </c>
      <c r="F24" s="185"/>
      <c r="G24" s="143"/>
      <c r="H24" s="143"/>
      <c r="I24">
        <f>IF(AND(F23&gt;=70,F23&lt;90),60%*H23,IF(AND(F23&gt;=50,F23&lt;70),70%*H23,IF(AND(F23&gt;=30,F23&lt;50),H23*80%,50%*H23)))</f>
        <v>186200</v>
      </c>
    </row>
    <row r="25" spans="1:9" x14ac:dyDescent="0.3">
      <c r="A25" s="23" t="s">
        <v>51</v>
      </c>
      <c r="B25" s="24"/>
      <c r="C25" s="103" t="s">
        <v>52</v>
      </c>
      <c r="D25" s="173">
        <v>150000</v>
      </c>
      <c r="E25" s="46">
        <v>60</v>
      </c>
      <c r="F25" s="182">
        <f>AVERAGE(E25:E26)</f>
        <v>56.5</v>
      </c>
      <c r="G25" s="168">
        <f>D25/F25</f>
        <v>2654.8672566371683</v>
      </c>
      <c r="H25" s="168">
        <f>20000*F25*0.2</f>
        <v>226000</v>
      </c>
    </row>
    <row r="26" spans="1:9" x14ac:dyDescent="0.3">
      <c r="A26" s="23" t="s">
        <v>9</v>
      </c>
      <c r="B26" s="24">
        <v>120000</v>
      </c>
      <c r="C26" s="103"/>
      <c r="D26" s="173"/>
      <c r="E26" s="46">
        <v>53</v>
      </c>
      <c r="F26" s="183"/>
      <c r="G26" s="168"/>
      <c r="H26" s="168"/>
      <c r="I26">
        <f>IF(AND(F25&gt;=70,F25&lt;90),60%*H25,IF(AND(F25&gt;=50,F25&lt;70),70%*H25,IF(AND(F25&gt;=30,F25&lt;50),H25*80%,50%*H25)))</f>
        <v>158200</v>
      </c>
    </row>
    <row r="27" spans="1:9" x14ac:dyDescent="0.3">
      <c r="A27" s="21" t="s">
        <v>55</v>
      </c>
      <c r="B27" s="22"/>
      <c r="C27" s="109" t="s">
        <v>56</v>
      </c>
      <c r="D27" s="170">
        <v>90000</v>
      </c>
      <c r="E27" s="45">
        <v>30</v>
      </c>
      <c r="F27" s="171">
        <f>AVERAGE(E27:E28)</f>
        <v>30.5</v>
      </c>
      <c r="G27" s="169">
        <f>D27/F27</f>
        <v>2950.8196721311474</v>
      </c>
      <c r="H27" s="169">
        <f>20000*F27*0.2</f>
        <v>122000</v>
      </c>
    </row>
    <row r="28" spans="1:9" x14ac:dyDescent="0.3">
      <c r="A28" s="21" t="s">
        <v>54</v>
      </c>
      <c r="B28" s="22">
        <v>160000</v>
      </c>
      <c r="C28" s="109"/>
      <c r="D28" s="170"/>
      <c r="E28" s="45">
        <v>31</v>
      </c>
      <c r="F28" s="172"/>
      <c r="G28" s="169"/>
      <c r="H28" s="169"/>
      <c r="I28">
        <f>IF(AND(F27&gt;=70,F27&lt;90),60%*H27,IF(AND(F27&gt;=50,F27&lt;70),70%*H27,IF(AND(F27&gt;=30,F27&lt;50),H27*80%,50%*H27)))</f>
        <v>97600</v>
      </c>
    </row>
    <row r="29" spans="1:9" x14ac:dyDescent="0.3">
      <c r="A29" s="25" t="s">
        <v>53</v>
      </c>
      <c r="B29" s="26">
        <v>100000</v>
      </c>
      <c r="C29" s="111" t="s">
        <v>59</v>
      </c>
      <c r="D29" s="153">
        <v>140000</v>
      </c>
      <c r="E29" s="47">
        <v>45</v>
      </c>
      <c r="F29" s="146">
        <f>AVERAGE(E29:E31)</f>
        <v>44</v>
      </c>
      <c r="G29" s="136">
        <f>D29/F29</f>
        <v>3181.818181818182</v>
      </c>
      <c r="H29" s="136">
        <f>20000*F29*0.2</f>
        <v>176000</v>
      </c>
    </row>
    <row r="30" spans="1:9" x14ac:dyDescent="0.3">
      <c r="A30" s="25" t="s">
        <v>10</v>
      </c>
      <c r="B30" s="26">
        <v>200000</v>
      </c>
      <c r="C30" s="111"/>
      <c r="D30" s="153"/>
      <c r="E30" s="47">
        <v>48</v>
      </c>
      <c r="F30" s="146"/>
      <c r="G30" s="136"/>
      <c r="H30" s="136"/>
      <c r="I30">
        <f>IF(AND(F29&gt;=70,F29&lt;90),60%*H29,IF(AND(F29&gt;=50,F29&lt;70),70%*H29,IF(AND(F29&gt;=30,F29&lt;50),H29*80%,50%*H29)))</f>
        <v>140800</v>
      </c>
    </row>
    <row r="31" spans="1:9" x14ac:dyDescent="0.3">
      <c r="A31" s="25" t="s">
        <v>57</v>
      </c>
      <c r="B31" s="26"/>
      <c r="C31" s="111"/>
      <c r="D31" s="153"/>
      <c r="E31" s="47">
        <v>39</v>
      </c>
      <c r="F31" s="146"/>
      <c r="G31" s="136"/>
      <c r="H31" s="136"/>
    </row>
    <row r="32" spans="1:9" x14ac:dyDescent="0.3">
      <c r="A32" s="11" t="s">
        <v>60</v>
      </c>
      <c r="B32" s="10"/>
      <c r="C32" s="96" t="s">
        <v>65</v>
      </c>
      <c r="D32" s="151">
        <v>60000</v>
      </c>
      <c r="E32" s="39">
        <v>32</v>
      </c>
      <c r="F32" s="147">
        <f>AVERAGE(E32:E35)</f>
        <v>27</v>
      </c>
      <c r="G32" s="148">
        <f>D32/F32</f>
        <v>2222.2222222222222</v>
      </c>
      <c r="H32" s="148">
        <f>20000*F32*0.2</f>
        <v>108000</v>
      </c>
    </row>
    <row r="33" spans="1:9" x14ac:dyDescent="0.3">
      <c r="A33" s="11" t="s">
        <v>61</v>
      </c>
      <c r="B33" s="10"/>
      <c r="C33" s="96"/>
      <c r="D33" s="151"/>
      <c r="E33" s="39">
        <v>28</v>
      </c>
      <c r="F33" s="147"/>
      <c r="G33" s="148"/>
      <c r="H33" s="148"/>
      <c r="I33">
        <f>IF(AND(F32&gt;=70,F32&lt;90),60%*H32,IF(AND(F32&gt;=50,F32&lt;70),70%*H32,IF(AND(F32&gt;=30,F32&lt;50),H32*80%,50%*H32)))</f>
        <v>54000</v>
      </c>
    </row>
    <row r="34" spans="1:9" x14ac:dyDescent="0.3">
      <c r="A34" s="11" t="s">
        <v>62</v>
      </c>
      <c r="B34" s="10"/>
      <c r="C34" s="96"/>
      <c r="D34" s="151"/>
      <c r="E34" s="39">
        <v>20</v>
      </c>
      <c r="F34" s="147"/>
      <c r="G34" s="148"/>
      <c r="H34" s="148"/>
    </row>
    <row r="35" spans="1:9" x14ac:dyDescent="0.3">
      <c r="A35" s="11" t="s">
        <v>63</v>
      </c>
      <c r="B35" s="10"/>
      <c r="C35" s="96"/>
      <c r="D35" s="151"/>
      <c r="E35" s="39">
        <v>28</v>
      </c>
      <c r="F35" s="147"/>
      <c r="G35" s="148"/>
      <c r="H35" s="148"/>
    </row>
    <row r="36" spans="1:9" ht="18" customHeight="1" x14ac:dyDescent="0.3">
      <c r="A36" s="65" t="s">
        <v>11</v>
      </c>
      <c r="B36" s="65"/>
      <c r="C36" s="65"/>
      <c r="D36" s="65"/>
      <c r="E36" s="65"/>
      <c r="F36" s="65"/>
      <c r="G36" s="65"/>
      <c r="H36" s="65"/>
    </row>
    <row r="37" spans="1:9" x14ac:dyDescent="0.3">
      <c r="A37" s="29" t="s">
        <v>68</v>
      </c>
      <c r="B37" s="20">
        <v>80000</v>
      </c>
      <c r="C37" s="106" t="s">
        <v>69</v>
      </c>
      <c r="D37" s="155">
        <v>60000</v>
      </c>
      <c r="E37" s="44">
        <v>29</v>
      </c>
      <c r="F37" s="158">
        <f>AVERAGE(E37:E39)</f>
        <v>25.333333333333332</v>
      </c>
      <c r="G37" s="159">
        <f>D37/F37</f>
        <v>2368.4210526315792</v>
      </c>
      <c r="H37" s="145">
        <f>20000*F37*0.2</f>
        <v>101333.33333333333</v>
      </c>
    </row>
    <row r="38" spans="1:9" x14ac:dyDescent="0.3">
      <c r="A38" s="29" t="s">
        <v>67</v>
      </c>
      <c r="B38" s="20">
        <v>80000</v>
      </c>
      <c r="C38" s="106"/>
      <c r="D38" s="155"/>
      <c r="E38" s="44">
        <v>19</v>
      </c>
      <c r="F38" s="158"/>
      <c r="G38" s="159"/>
      <c r="H38" s="145"/>
      <c r="I38">
        <f>IF(AND(F37&gt;=70,F37&lt;90),60%*H37,IF(AND(F37&gt;=50,F37&lt;70),70%*H37,IF(AND(F37&gt;=30,F37&lt;50),H37*80%,50%*H37)))</f>
        <v>50666.666666666664</v>
      </c>
    </row>
    <row r="39" spans="1:9" x14ac:dyDescent="0.3">
      <c r="A39" s="29" t="s">
        <v>66</v>
      </c>
      <c r="B39" s="20"/>
      <c r="C39" s="106"/>
      <c r="D39" s="155"/>
      <c r="E39" s="44">
        <v>28</v>
      </c>
      <c r="F39" s="158"/>
      <c r="G39" s="159"/>
      <c r="H39" s="145"/>
    </row>
    <row r="40" spans="1:9" x14ac:dyDescent="0.3">
      <c r="A40" s="16" t="s">
        <v>70</v>
      </c>
      <c r="B40" s="13"/>
      <c r="C40" s="92" t="s">
        <v>72</v>
      </c>
      <c r="D40" s="167">
        <v>110000</v>
      </c>
      <c r="E40" s="40">
        <v>32</v>
      </c>
      <c r="F40" s="157">
        <f>AVERAGE(E40:E41)</f>
        <v>36</v>
      </c>
      <c r="G40" s="160">
        <f>D40/F40</f>
        <v>3055.5555555555557</v>
      </c>
      <c r="H40" s="161">
        <f>20000*F40*0.2</f>
        <v>144000</v>
      </c>
    </row>
    <row r="41" spans="1:9" x14ac:dyDescent="0.3">
      <c r="A41" s="16" t="s">
        <v>71</v>
      </c>
      <c r="B41" s="13"/>
      <c r="C41" s="92"/>
      <c r="D41" s="167"/>
      <c r="E41" s="40">
        <v>40</v>
      </c>
      <c r="F41" s="157"/>
      <c r="G41" s="160"/>
      <c r="H41" s="161"/>
      <c r="I41">
        <f>IF(AND(F40&gt;=70,F40&lt;90),60%*H40,IF(AND(F40&gt;=50,F40&lt;70),70%*H40,IF(AND(F40&gt;=30,F40&lt;50),H40*80%,50%*H40)))</f>
        <v>115200</v>
      </c>
    </row>
    <row r="42" spans="1:9" x14ac:dyDescent="0.3">
      <c r="A42" s="30" t="s">
        <v>12</v>
      </c>
      <c r="B42" s="26">
        <v>80000</v>
      </c>
      <c r="C42" s="111" t="s">
        <v>75</v>
      </c>
      <c r="D42" s="153">
        <v>130000</v>
      </c>
      <c r="E42" s="47">
        <v>35</v>
      </c>
      <c r="F42" s="146">
        <f>AVERAGE(E42:E44)</f>
        <v>40.333333333333336</v>
      </c>
      <c r="G42" s="136">
        <f>D42/F42</f>
        <v>3223.1404958677685</v>
      </c>
      <c r="H42" s="135">
        <f>20000*F42*0.2</f>
        <v>161333.33333333337</v>
      </c>
    </row>
    <row r="43" spans="1:9" x14ac:dyDescent="0.3">
      <c r="A43" s="30" t="s">
        <v>73</v>
      </c>
      <c r="B43" s="26"/>
      <c r="C43" s="111"/>
      <c r="D43" s="153"/>
      <c r="E43" s="47">
        <v>40</v>
      </c>
      <c r="F43" s="146"/>
      <c r="G43" s="136"/>
      <c r="H43" s="135"/>
      <c r="I43">
        <f>IF(AND(F42&gt;=70,F42&lt;90),60%*H42,IF(AND(F42&gt;=50,F42&lt;70),70%*H42,IF(AND(F42&gt;=30,F42&lt;50),H42*80%,50%*H42)))</f>
        <v>129066.6666666667</v>
      </c>
    </row>
    <row r="44" spans="1:9" x14ac:dyDescent="0.3">
      <c r="A44" s="30" t="s">
        <v>74</v>
      </c>
      <c r="B44" s="26"/>
      <c r="C44" s="111"/>
      <c r="D44" s="153"/>
      <c r="E44" s="47">
        <v>46</v>
      </c>
      <c r="F44" s="146"/>
      <c r="G44" s="136"/>
      <c r="H44" s="135"/>
    </row>
    <row r="45" spans="1:9" x14ac:dyDescent="0.3">
      <c r="A45" s="14" t="s">
        <v>13</v>
      </c>
      <c r="B45" s="15">
        <v>240000</v>
      </c>
      <c r="C45" s="99" t="s">
        <v>82</v>
      </c>
      <c r="D45" s="149">
        <v>170000</v>
      </c>
      <c r="E45" s="42">
        <v>42</v>
      </c>
      <c r="F45" s="138">
        <f>AVERAGE(E45:E46)</f>
        <v>61</v>
      </c>
      <c r="G45" s="141">
        <f>D45/F45</f>
        <v>2786.8852459016393</v>
      </c>
      <c r="H45" s="140">
        <f>20000*F45*0.2</f>
        <v>244000</v>
      </c>
    </row>
    <row r="46" spans="1:9" x14ac:dyDescent="0.3">
      <c r="A46" s="14" t="s">
        <v>81</v>
      </c>
      <c r="B46" s="15"/>
      <c r="C46" s="99"/>
      <c r="D46" s="149"/>
      <c r="E46" s="42">
        <v>80</v>
      </c>
      <c r="F46" s="138"/>
      <c r="G46" s="141"/>
      <c r="H46" s="140"/>
      <c r="I46">
        <f>IF(AND(F45&gt;=70,F45&lt;90),60%*H45,IF(AND(F45&gt;=50,F45&lt;70),70%*H45,IF(AND(F45&gt;=30,F45&lt;50),H45*80%,50%*H45)))</f>
        <v>170800</v>
      </c>
    </row>
    <row r="47" spans="1:9" x14ac:dyDescent="0.3">
      <c r="A47" s="17" t="s">
        <v>77</v>
      </c>
      <c r="B47" s="18">
        <v>160000</v>
      </c>
      <c r="C47" s="94" t="s">
        <v>80</v>
      </c>
      <c r="D47" s="150">
        <v>170000</v>
      </c>
      <c r="E47" s="43">
        <v>58</v>
      </c>
      <c r="F47" s="156">
        <f>AVERAGE(E47:E49)</f>
        <v>60.666666666666664</v>
      </c>
      <c r="G47" s="133">
        <f>D47/F47</f>
        <v>2802.1978021978025</v>
      </c>
      <c r="H47" s="134">
        <f>20000*F47*0.2</f>
        <v>242666.66666666666</v>
      </c>
    </row>
    <row r="48" spans="1:9" x14ac:dyDescent="0.3">
      <c r="A48" s="17" t="s">
        <v>78</v>
      </c>
      <c r="B48" s="18">
        <v>160000</v>
      </c>
      <c r="C48" s="94"/>
      <c r="D48" s="150"/>
      <c r="E48" s="43">
        <v>64</v>
      </c>
      <c r="F48" s="156"/>
      <c r="G48" s="133"/>
      <c r="H48" s="134"/>
      <c r="I48">
        <f>IF(AND(F47&gt;=70,F47&lt;90),60%*H47,IF(AND(F47&gt;=50,F47&lt;70),70%*H47,IF(AND(F47&gt;=30,F47&lt;50),H47*80%,50%*H47)))</f>
        <v>169866.66666666666</v>
      </c>
    </row>
    <row r="49" spans="1:9" x14ac:dyDescent="0.3">
      <c r="A49" s="17" t="s">
        <v>79</v>
      </c>
      <c r="B49" s="18"/>
      <c r="C49" s="94"/>
      <c r="D49" s="150"/>
      <c r="E49" s="43">
        <v>60</v>
      </c>
      <c r="F49" s="156"/>
      <c r="G49" s="133"/>
      <c r="H49" s="134"/>
    </row>
    <row r="50" spans="1:9" x14ac:dyDescent="0.3">
      <c r="A50" s="31" t="s">
        <v>14</v>
      </c>
      <c r="B50" s="32">
        <v>120000</v>
      </c>
      <c r="C50" s="61"/>
      <c r="D50" s="63">
        <v>150000</v>
      </c>
      <c r="E50" s="48">
        <v>55</v>
      </c>
      <c r="F50" s="48">
        <v>55</v>
      </c>
      <c r="G50" s="49">
        <f>D50/F50</f>
        <v>2727.2727272727275</v>
      </c>
      <c r="H50" s="50">
        <f>20000*F50*0.2</f>
        <v>220000</v>
      </c>
      <c r="I50">
        <f>IF(AND(F50&gt;=70,F50&lt;90),60%*H50,IF(AND(F50&gt;=50,F50&lt;70),70%*H50,IF(AND(F50&gt;=30,F50&lt;50),H50*80%,50%*H50)))</f>
        <v>154000</v>
      </c>
    </row>
    <row r="51" spans="1:9" x14ac:dyDescent="0.3">
      <c r="A51" s="64" t="s">
        <v>15</v>
      </c>
      <c r="B51" s="64"/>
      <c r="C51" s="64"/>
      <c r="D51" s="64"/>
      <c r="E51" s="64"/>
      <c r="F51" s="64"/>
      <c r="G51" s="64"/>
      <c r="H51" s="64"/>
    </row>
    <row r="52" spans="1:9" x14ac:dyDescent="0.3">
      <c r="A52" s="33" t="s">
        <v>83</v>
      </c>
      <c r="B52" s="10">
        <v>140000</v>
      </c>
      <c r="C52" s="96" t="s">
        <v>101</v>
      </c>
      <c r="D52" s="151">
        <v>200000</v>
      </c>
      <c r="E52" s="39">
        <v>83</v>
      </c>
      <c r="F52" s="147">
        <f>AVERAGE(E52:E55)</f>
        <v>84</v>
      </c>
      <c r="G52" s="148">
        <f>D52/F52</f>
        <v>2380.9523809523807</v>
      </c>
      <c r="H52" s="148">
        <f>20000*F52*0.2</f>
        <v>336000</v>
      </c>
    </row>
    <row r="53" spans="1:9" x14ac:dyDescent="0.3">
      <c r="A53" s="33" t="s">
        <v>87</v>
      </c>
      <c r="B53" s="10">
        <v>160000</v>
      </c>
      <c r="C53" s="96"/>
      <c r="D53" s="151"/>
      <c r="E53" s="39">
        <v>85</v>
      </c>
      <c r="F53" s="147"/>
      <c r="G53" s="148"/>
      <c r="H53" s="148"/>
      <c r="I53">
        <f>IF(AND(F52&gt;=70,F52&lt;90),60%*H52,IF(AND(F52&gt;=50,F52&lt;70),70%*H52,IF(AND(F52&gt;=30,F52&lt;50),H52*80%,50%*H52)))</f>
        <v>201600</v>
      </c>
    </row>
    <row r="54" spans="1:9" x14ac:dyDescent="0.3">
      <c r="A54" s="33" t="s">
        <v>84</v>
      </c>
      <c r="B54" s="10">
        <v>200000</v>
      </c>
      <c r="C54" s="96"/>
      <c r="D54" s="151"/>
      <c r="E54" s="39">
        <v>91</v>
      </c>
      <c r="F54" s="147"/>
      <c r="G54" s="148"/>
      <c r="H54" s="148"/>
    </row>
    <row r="55" spans="1:9" x14ac:dyDescent="0.3">
      <c r="A55" s="33" t="s">
        <v>100</v>
      </c>
      <c r="B55" s="10"/>
      <c r="C55" s="96"/>
      <c r="D55" s="151"/>
      <c r="E55" s="39">
        <v>77</v>
      </c>
      <c r="F55" s="147"/>
      <c r="G55" s="148"/>
      <c r="H55" s="148"/>
    </row>
    <row r="56" spans="1:9" x14ac:dyDescent="0.3">
      <c r="A56" s="34" t="s">
        <v>19</v>
      </c>
      <c r="B56" s="35">
        <v>160000</v>
      </c>
      <c r="C56" s="114" t="s">
        <v>104</v>
      </c>
      <c r="D56" s="152">
        <v>190000</v>
      </c>
      <c r="E56" s="51">
        <v>93</v>
      </c>
      <c r="F56" s="163">
        <f>AVERAGE(E56:E58)</f>
        <v>95.333333333333329</v>
      </c>
      <c r="G56" s="164">
        <f>D56/F56</f>
        <v>1993.0069930069931</v>
      </c>
      <c r="H56" s="165">
        <f>20000*F56*0.2</f>
        <v>381333.33333333331</v>
      </c>
    </row>
    <row r="57" spans="1:9" x14ac:dyDescent="0.3">
      <c r="A57" s="34" t="s">
        <v>102</v>
      </c>
      <c r="B57" s="35"/>
      <c r="C57" s="114"/>
      <c r="D57" s="152"/>
      <c r="E57" s="51">
        <v>95</v>
      </c>
      <c r="F57" s="163"/>
      <c r="G57" s="164"/>
      <c r="H57" s="165"/>
      <c r="I57">
        <f>IF(AND(F56&gt;=70,F56&lt;90),60%*H56,IF(AND(F56&gt;=50,F56&lt;70),70%*H56,IF(AND(F56&gt;=30,F56&lt;50),H56*80%,50%*H56)))</f>
        <v>190666.66666666666</v>
      </c>
    </row>
    <row r="58" spans="1:9" x14ac:dyDescent="0.3">
      <c r="A58" s="34" t="s">
        <v>103</v>
      </c>
      <c r="B58" s="35"/>
      <c r="C58" s="114"/>
      <c r="D58" s="152"/>
      <c r="E58" s="51">
        <v>98</v>
      </c>
      <c r="F58" s="163"/>
      <c r="G58" s="164"/>
      <c r="H58" s="165"/>
    </row>
    <row r="59" spans="1:9" x14ac:dyDescent="0.3">
      <c r="A59" s="30" t="s">
        <v>91</v>
      </c>
      <c r="B59" s="26">
        <v>200000</v>
      </c>
      <c r="C59" s="111" t="s">
        <v>106</v>
      </c>
      <c r="D59" s="153">
        <v>220000</v>
      </c>
      <c r="E59" s="47">
        <v>108</v>
      </c>
      <c r="F59" s="137">
        <f>AVERAGE(E59:E60)</f>
        <v>109.5</v>
      </c>
      <c r="G59" s="136">
        <f>D59/F59</f>
        <v>2009.1324200913241</v>
      </c>
      <c r="H59" s="135">
        <f>20000*F59*0.2</f>
        <v>438000</v>
      </c>
    </row>
    <row r="60" spans="1:9" x14ac:dyDescent="0.3">
      <c r="A60" s="30" t="s">
        <v>105</v>
      </c>
      <c r="B60" s="26"/>
      <c r="C60" s="111"/>
      <c r="D60" s="153"/>
      <c r="E60" s="47">
        <v>111</v>
      </c>
      <c r="F60" s="137"/>
      <c r="G60" s="136"/>
      <c r="H60" s="135"/>
      <c r="I60">
        <f>IF(AND(F59&gt;=70,F59&lt;90),60%*H59,IF(AND(F59&gt;=50,F59&lt;70),70%*H59,IF(AND(F59&gt;=30,F59&lt;50),H59*80%,50%*H59)))</f>
        <v>219000</v>
      </c>
    </row>
    <row r="61" spans="1:9" x14ac:dyDescent="0.3">
      <c r="A61" s="29" t="s">
        <v>16</v>
      </c>
      <c r="B61" s="20">
        <v>160000</v>
      </c>
      <c r="C61" s="154" t="s">
        <v>108</v>
      </c>
      <c r="D61" s="155">
        <v>190000</v>
      </c>
      <c r="E61" s="44">
        <v>100</v>
      </c>
      <c r="F61" s="158">
        <f>AVERAGE(E61:E63)</f>
        <v>96.333333333333329</v>
      </c>
      <c r="G61" s="166">
        <f>D61/F61</f>
        <v>1972.3183391003461</v>
      </c>
      <c r="H61" s="145">
        <f>20000*F61*0.2</f>
        <v>385333.33333333331</v>
      </c>
    </row>
    <row r="62" spans="1:9" x14ac:dyDescent="0.3">
      <c r="A62" s="29" t="s">
        <v>90</v>
      </c>
      <c r="B62" s="20">
        <v>160000</v>
      </c>
      <c r="C62" s="106"/>
      <c r="D62" s="155"/>
      <c r="E62" s="44">
        <v>87</v>
      </c>
      <c r="F62" s="158"/>
      <c r="G62" s="166"/>
      <c r="H62" s="145"/>
      <c r="I62">
        <f>IF(AND(F61&gt;=70,F61&lt;90),60%*H61,IF(AND(F61&gt;=50,F61&lt;70),70%*H61,IF(AND(F61&gt;=30,F61&lt;50),H61*80%,50%*H61)))</f>
        <v>192666.66666666666</v>
      </c>
    </row>
    <row r="63" spans="1:9" x14ac:dyDescent="0.3">
      <c r="A63" s="29" t="s">
        <v>107</v>
      </c>
      <c r="B63" s="20"/>
      <c r="C63" s="106"/>
      <c r="D63" s="155"/>
      <c r="E63" s="44">
        <v>102</v>
      </c>
      <c r="F63" s="158"/>
      <c r="G63" s="166"/>
      <c r="H63" s="145"/>
    </row>
    <row r="64" spans="1:9" x14ac:dyDescent="0.3">
      <c r="A64" s="30" t="s">
        <v>89</v>
      </c>
      <c r="B64" s="26">
        <v>140000</v>
      </c>
      <c r="C64" s="111" t="s">
        <v>109</v>
      </c>
      <c r="D64" s="153">
        <v>180000</v>
      </c>
      <c r="E64" s="47">
        <v>73</v>
      </c>
      <c r="F64" s="146">
        <f>AVERAGE(E64:E66)</f>
        <v>75.666666666666671</v>
      </c>
      <c r="G64" s="136">
        <f>D64/F64</f>
        <v>2378.8546255506608</v>
      </c>
      <c r="H64" s="135">
        <f>20000*F64*0.2</f>
        <v>302666.66666666669</v>
      </c>
    </row>
    <row r="65" spans="1:9" x14ac:dyDescent="0.3">
      <c r="A65" s="30" t="s">
        <v>85</v>
      </c>
      <c r="B65" s="26">
        <v>140000</v>
      </c>
      <c r="C65" s="111"/>
      <c r="D65" s="153"/>
      <c r="E65" s="47">
        <v>79</v>
      </c>
      <c r="F65" s="146"/>
      <c r="G65" s="136"/>
      <c r="H65" s="135"/>
      <c r="I65">
        <f>IF(AND(F64&gt;=70,F64&lt;90),60%*H64,IF(AND(F64&gt;=50,F64&lt;70),70%*H64,IF(AND(F64&gt;=30,F64&lt;50),H64*80%,50%*H64)))</f>
        <v>181600</v>
      </c>
    </row>
    <row r="66" spans="1:9" x14ac:dyDescent="0.3">
      <c r="A66" s="30" t="s">
        <v>17</v>
      </c>
      <c r="B66" s="26">
        <v>140000</v>
      </c>
      <c r="C66" s="111"/>
      <c r="D66" s="153"/>
      <c r="E66" s="47">
        <v>75</v>
      </c>
      <c r="F66" s="146"/>
      <c r="G66" s="136"/>
      <c r="H66" s="135"/>
    </row>
    <row r="67" spans="1:9" x14ac:dyDescent="0.3">
      <c r="A67" s="17" t="s">
        <v>86</v>
      </c>
      <c r="B67" s="18">
        <v>240000</v>
      </c>
      <c r="C67" s="94" t="s">
        <v>110</v>
      </c>
      <c r="D67" s="150">
        <v>230000</v>
      </c>
      <c r="E67" s="43">
        <v>117</v>
      </c>
      <c r="F67" s="132">
        <f>AVERAGE(E67:E68)</f>
        <v>114</v>
      </c>
      <c r="G67" s="133">
        <f>D67/F67</f>
        <v>2017.5438596491229</v>
      </c>
      <c r="H67" s="134">
        <f>20000*F67*0.2</f>
        <v>456000</v>
      </c>
    </row>
    <row r="68" spans="1:9" x14ac:dyDescent="0.3">
      <c r="A68" s="17" t="s">
        <v>88</v>
      </c>
      <c r="B68" s="18">
        <v>200000</v>
      </c>
      <c r="C68" s="94"/>
      <c r="D68" s="150"/>
      <c r="E68" s="43">
        <v>111</v>
      </c>
      <c r="F68" s="132"/>
      <c r="G68" s="133"/>
      <c r="H68" s="134"/>
      <c r="I68">
        <f>IF(AND(F67&gt;=70,F67&lt;90),60%*H67,IF(AND(F67&gt;=50,F67&lt;70),70%*H67,IF(AND(F67&gt;=30,F67&lt;50),H67*80%,50%*H67)))</f>
        <v>228000</v>
      </c>
    </row>
    <row r="69" spans="1:9" x14ac:dyDescent="0.3">
      <c r="A69" s="14" t="s">
        <v>111</v>
      </c>
      <c r="B69" s="15"/>
      <c r="C69" s="99" t="s">
        <v>112</v>
      </c>
      <c r="D69" s="149">
        <v>160000</v>
      </c>
      <c r="E69" s="42">
        <v>61</v>
      </c>
      <c r="F69" s="138">
        <f>AVERAGE(E69:E70)</f>
        <v>58.5</v>
      </c>
      <c r="G69" s="141">
        <f>D69/F69</f>
        <v>2735.0427350427349</v>
      </c>
      <c r="H69" s="140">
        <f>20000*F69*0.2</f>
        <v>234000</v>
      </c>
    </row>
    <row r="70" spans="1:9" x14ac:dyDescent="0.3">
      <c r="A70" s="14" t="s">
        <v>18</v>
      </c>
      <c r="B70" s="15">
        <v>80000</v>
      </c>
      <c r="C70" s="99"/>
      <c r="D70" s="149"/>
      <c r="E70" s="42">
        <v>56</v>
      </c>
      <c r="F70" s="138"/>
      <c r="G70" s="141"/>
      <c r="H70" s="140"/>
      <c r="I70">
        <f>IF(AND(F69&gt;=70,F69&lt;90),60%*H69,IF(AND(F69&gt;=50,F69&lt;70),70%*H69,IF(AND(F69&gt;=30,F69&lt;50),H69*80%,50%*H69)))</f>
        <v>163800</v>
      </c>
    </row>
    <row r="71" spans="1:9" x14ac:dyDescent="0.3">
      <c r="A71" s="64" t="s">
        <v>20</v>
      </c>
      <c r="B71" s="64"/>
      <c r="C71" s="64"/>
      <c r="D71" s="64"/>
      <c r="E71" s="64"/>
      <c r="F71" s="64"/>
      <c r="G71" s="64"/>
      <c r="H71" s="52"/>
    </row>
    <row r="72" spans="1:9" x14ac:dyDescent="0.3">
      <c r="A72" s="53" t="s">
        <v>21</v>
      </c>
      <c r="B72" s="54">
        <v>160000</v>
      </c>
      <c r="C72" s="101" t="s">
        <v>96</v>
      </c>
      <c r="D72" s="162">
        <v>170000</v>
      </c>
      <c r="E72" s="55">
        <v>75</v>
      </c>
      <c r="F72" s="142">
        <f>AVERAGE(E72:E73)</f>
        <v>74</v>
      </c>
      <c r="G72" s="143">
        <f>D72/F72</f>
        <v>2297.2972972972975</v>
      </c>
      <c r="H72" s="144">
        <f>20000*F72*0.2</f>
        <v>296000</v>
      </c>
    </row>
    <row r="73" spans="1:9" x14ac:dyDescent="0.3">
      <c r="A73" s="53" t="s">
        <v>93</v>
      </c>
      <c r="B73" s="54">
        <v>180000</v>
      </c>
      <c r="C73" s="101"/>
      <c r="D73" s="162"/>
      <c r="E73" s="55">
        <v>73</v>
      </c>
      <c r="F73" s="142"/>
      <c r="G73" s="143"/>
      <c r="H73" s="144"/>
      <c r="I73">
        <f>IF(AND(F72&gt;=70,F72&lt;90),60%*H72,IF(AND(F72&gt;=50,F72&lt;70),70%*H72,IF(AND(F72&gt;=30,F72&lt;50),H72*80%,50%*H72)))</f>
        <v>177600</v>
      </c>
    </row>
    <row r="74" spans="1:9" x14ac:dyDescent="0.3">
      <c r="A74" s="30" t="s">
        <v>92</v>
      </c>
      <c r="B74" s="26">
        <v>200000</v>
      </c>
      <c r="C74" s="111" t="s">
        <v>97</v>
      </c>
      <c r="D74" s="153">
        <v>210000</v>
      </c>
      <c r="E74" s="47">
        <v>115</v>
      </c>
      <c r="F74" s="137">
        <f>AVERAGE(E74:E75)</f>
        <v>105.5</v>
      </c>
      <c r="G74" s="136">
        <f>D74/F74</f>
        <v>1990.5213270142181</v>
      </c>
      <c r="H74" s="135">
        <f>20000*F74*0.2</f>
        <v>422000</v>
      </c>
    </row>
    <row r="75" spans="1:9" x14ac:dyDescent="0.3">
      <c r="A75" s="30" t="s">
        <v>22</v>
      </c>
      <c r="B75" s="26">
        <v>200000</v>
      </c>
      <c r="C75" s="111"/>
      <c r="D75" s="153"/>
      <c r="E75" s="47">
        <v>96</v>
      </c>
      <c r="F75" s="137"/>
      <c r="G75" s="136"/>
      <c r="H75" s="135"/>
      <c r="I75">
        <f>IF(AND(F74&gt;=70,F74&lt;90),60%*H74,IF(AND(F74&gt;=50,F74&lt;70),70%*H74,IF(AND(F74&gt;=30,F74&lt;50),H74*80%,50%*H74)))</f>
        <v>211000</v>
      </c>
    </row>
    <row r="76" spans="1:9" x14ac:dyDescent="0.3">
      <c r="A76" s="14" t="s">
        <v>94</v>
      </c>
      <c r="B76" s="15">
        <v>240000</v>
      </c>
      <c r="C76" s="99" t="s">
        <v>98</v>
      </c>
      <c r="D76" s="149">
        <v>200000</v>
      </c>
      <c r="E76" s="42">
        <v>123</v>
      </c>
      <c r="F76" s="138">
        <f>AVERAGE(E76:E78)</f>
        <v>97.333333333333329</v>
      </c>
      <c r="G76" s="139">
        <f>D76/F76</f>
        <v>2054.7945205479455</v>
      </c>
      <c r="H76" s="140">
        <f>20000*F76*0.2</f>
        <v>389333.33333333331</v>
      </c>
    </row>
    <row r="77" spans="1:9" x14ac:dyDescent="0.3">
      <c r="A77" s="14" t="s">
        <v>25</v>
      </c>
      <c r="B77" s="15">
        <v>240000</v>
      </c>
      <c r="C77" s="99"/>
      <c r="D77" s="149"/>
      <c r="E77" s="42">
        <v>116</v>
      </c>
      <c r="F77" s="138"/>
      <c r="G77" s="139"/>
      <c r="H77" s="140"/>
      <c r="I77">
        <f>IF(AND(F76&gt;=70,F76&lt;90),60%*H76,IF(AND(F76&gt;=50,F76&lt;70),70%*H76,IF(AND(F76&gt;=30,F76&lt;50),H76*80%,50%*H76)))</f>
        <v>194666.66666666666</v>
      </c>
    </row>
    <row r="78" spans="1:9" x14ac:dyDescent="0.3">
      <c r="A78" s="56" t="s">
        <v>95</v>
      </c>
      <c r="B78" s="15">
        <v>240000</v>
      </c>
      <c r="C78" s="99"/>
      <c r="D78" s="149"/>
      <c r="E78" s="42">
        <v>53</v>
      </c>
      <c r="F78" s="138"/>
      <c r="G78" s="139"/>
      <c r="H78" s="140"/>
    </row>
    <row r="79" spans="1:9" x14ac:dyDescent="0.3">
      <c r="A79" s="17" t="s">
        <v>23</v>
      </c>
      <c r="B79" s="18">
        <v>240000</v>
      </c>
      <c r="C79" s="94" t="s">
        <v>99</v>
      </c>
      <c r="D79" s="150">
        <v>230000</v>
      </c>
      <c r="E79" s="43">
        <v>130</v>
      </c>
      <c r="F79" s="132">
        <f>AVERAGE(E79:E80)</f>
        <v>114.5</v>
      </c>
      <c r="G79" s="133">
        <f>D79/F79</f>
        <v>2008.7336244541484</v>
      </c>
      <c r="H79" s="134">
        <f>20000*F79*0.2</f>
        <v>458000</v>
      </c>
    </row>
    <row r="80" spans="1:9" x14ac:dyDescent="0.3">
      <c r="A80" s="17" t="s">
        <v>24</v>
      </c>
      <c r="B80" s="18">
        <v>240000</v>
      </c>
      <c r="C80" s="94"/>
      <c r="D80" s="150"/>
      <c r="E80" s="43">
        <v>99</v>
      </c>
      <c r="F80" s="132"/>
      <c r="G80" s="133"/>
      <c r="H80" s="134"/>
      <c r="I80">
        <f>IF(AND(F79&gt;=70,F79&lt;90),60%*H79,IF(AND(F79&gt;=50,F79&lt;70),70%*H79,IF(AND(F79&gt;=30,F79&lt;50),H79*80%,50%*H79)))</f>
        <v>229000</v>
      </c>
    </row>
  </sheetData>
  <mergeCells count="135">
    <mergeCell ref="F25:F26"/>
    <mergeCell ref="H16:H17"/>
    <mergeCell ref="F19:F22"/>
    <mergeCell ref="G19:G22"/>
    <mergeCell ref="H19:H22"/>
    <mergeCell ref="F23:F24"/>
    <mergeCell ref="C19:C22"/>
    <mergeCell ref="D19:D22"/>
    <mergeCell ref="G3:G5"/>
    <mergeCell ref="G8:G9"/>
    <mergeCell ref="G10:G12"/>
    <mergeCell ref="G13:G15"/>
    <mergeCell ref="G16:G17"/>
    <mergeCell ref="F3:F5"/>
    <mergeCell ref="F8:F9"/>
    <mergeCell ref="F10:F12"/>
    <mergeCell ref="C3:C5"/>
    <mergeCell ref="D3:D5"/>
    <mergeCell ref="C8:C9"/>
    <mergeCell ref="D8:D9"/>
    <mergeCell ref="C16:C17"/>
    <mergeCell ref="F13:F15"/>
    <mergeCell ref="D10:D12"/>
    <mergeCell ref="D13:D15"/>
    <mergeCell ref="C13:C15"/>
    <mergeCell ref="D16:D17"/>
    <mergeCell ref="F16:F17"/>
    <mergeCell ref="C10:C12"/>
    <mergeCell ref="C32:C35"/>
    <mergeCell ref="D32:D35"/>
    <mergeCell ref="H3:H5"/>
    <mergeCell ref="H8:H9"/>
    <mergeCell ref="H10:H12"/>
    <mergeCell ref="H13:H15"/>
    <mergeCell ref="H23:H24"/>
    <mergeCell ref="G23:G24"/>
    <mergeCell ref="G25:G26"/>
    <mergeCell ref="H25:H26"/>
    <mergeCell ref="G27:G28"/>
    <mergeCell ref="H27:H28"/>
    <mergeCell ref="C27:C28"/>
    <mergeCell ref="D27:D28"/>
    <mergeCell ref="F27:F28"/>
    <mergeCell ref="C29:C31"/>
    <mergeCell ref="D29:D31"/>
    <mergeCell ref="C23:C24"/>
    <mergeCell ref="D23:D24"/>
    <mergeCell ref="C25:C26"/>
    <mergeCell ref="D25:D26"/>
    <mergeCell ref="G29:G31"/>
    <mergeCell ref="H29:H31"/>
    <mergeCell ref="F29:F31"/>
    <mergeCell ref="D42:D44"/>
    <mergeCell ref="C42:C44"/>
    <mergeCell ref="C47:C49"/>
    <mergeCell ref="D47:D49"/>
    <mergeCell ref="C45:C46"/>
    <mergeCell ref="D45:D46"/>
    <mergeCell ref="C37:C39"/>
    <mergeCell ref="D37:D39"/>
    <mergeCell ref="C40:C41"/>
    <mergeCell ref="D40:D41"/>
    <mergeCell ref="F40:F41"/>
    <mergeCell ref="F37:F39"/>
    <mergeCell ref="G37:G39"/>
    <mergeCell ref="H37:H39"/>
    <mergeCell ref="G40:G41"/>
    <mergeCell ref="H40:H41"/>
    <mergeCell ref="C72:C73"/>
    <mergeCell ref="D72:D73"/>
    <mergeCell ref="C74:C75"/>
    <mergeCell ref="D74:D75"/>
    <mergeCell ref="D69:D70"/>
    <mergeCell ref="C69:C70"/>
    <mergeCell ref="F56:F58"/>
    <mergeCell ref="G56:G58"/>
    <mergeCell ref="H56:H58"/>
    <mergeCell ref="H59:H60"/>
    <mergeCell ref="G59:G60"/>
    <mergeCell ref="F59:F60"/>
    <mergeCell ref="F61:F63"/>
    <mergeCell ref="G61:G63"/>
    <mergeCell ref="H52:H55"/>
    <mergeCell ref="F42:F44"/>
    <mergeCell ref="G42:G44"/>
    <mergeCell ref="H42:H44"/>
    <mergeCell ref="F32:F35"/>
    <mergeCell ref="G32:G35"/>
    <mergeCell ref="H32:H35"/>
    <mergeCell ref="C76:C78"/>
    <mergeCell ref="D76:D78"/>
    <mergeCell ref="C79:C80"/>
    <mergeCell ref="D79:D80"/>
    <mergeCell ref="C52:C55"/>
    <mergeCell ref="D52:D55"/>
    <mergeCell ref="C56:C58"/>
    <mergeCell ref="D56:D58"/>
    <mergeCell ref="C59:C60"/>
    <mergeCell ref="D59:D60"/>
    <mergeCell ref="C61:C63"/>
    <mergeCell ref="D61:D63"/>
    <mergeCell ref="C64:C66"/>
    <mergeCell ref="D64:D66"/>
    <mergeCell ref="C67:C68"/>
    <mergeCell ref="D67:D68"/>
    <mergeCell ref="F47:F49"/>
    <mergeCell ref="G47:G49"/>
    <mergeCell ref="H47:H49"/>
    <mergeCell ref="F52:F55"/>
    <mergeCell ref="G52:G55"/>
    <mergeCell ref="F45:F46"/>
    <mergeCell ref="G45:G46"/>
    <mergeCell ref="H45:H46"/>
    <mergeCell ref="H69:H70"/>
    <mergeCell ref="F69:F70"/>
    <mergeCell ref="G69:G70"/>
    <mergeCell ref="F72:F73"/>
    <mergeCell ref="G72:G73"/>
    <mergeCell ref="H72:H73"/>
    <mergeCell ref="H61:H63"/>
    <mergeCell ref="H64:H66"/>
    <mergeCell ref="G64:G66"/>
    <mergeCell ref="F64:F66"/>
    <mergeCell ref="F67:F68"/>
    <mergeCell ref="G67:G68"/>
    <mergeCell ref="H67:H68"/>
    <mergeCell ref="F79:F80"/>
    <mergeCell ref="G79:G80"/>
    <mergeCell ref="H79:H80"/>
    <mergeCell ref="H74:H75"/>
    <mergeCell ref="G74:G75"/>
    <mergeCell ref="F74:F75"/>
    <mergeCell ref="F76:F78"/>
    <mergeCell ref="G76:G78"/>
    <mergeCell ref="H76:H78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/>
  </sheetViews>
  <sheetFormatPr defaultRowHeight="18.75" x14ac:dyDescent="0.3"/>
  <cols>
    <col min="1" max="1" width="19.33203125" style="62" bestFit="1" customWidth="1"/>
    <col min="2" max="2" width="12.109375" style="37" customWidth="1"/>
  </cols>
  <sheetData>
    <row r="1" spans="1:2" x14ac:dyDescent="0.3">
      <c r="B1" s="62"/>
    </row>
    <row r="2" spans="1:2" x14ac:dyDescent="0.3">
      <c r="A2" s="86" t="s">
        <v>167</v>
      </c>
      <c r="B2" s="13">
        <v>50000</v>
      </c>
    </row>
    <row r="3" spans="1:2" x14ac:dyDescent="0.3">
      <c r="A3" s="30" t="s">
        <v>141</v>
      </c>
      <c r="B3" s="82">
        <v>180000</v>
      </c>
    </row>
    <row r="4" spans="1:2" x14ac:dyDescent="0.3">
      <c r="A4" s="33" t="s">
        <v>142</v>
      </c>
      <c r="B4" s="83">
        <v>200000</v>
      </c>
    </row>
    <row r="5" spans="1:2" x14ac:dyDescent="0.3">
      <c r="A5" s="16" t="s">
        <v>143</v>
      </c>
      <c r="B5" s="77">
        <v>150000</v>
      </c>
    </row>
    <row r="6" spans="1:2" x14ac:dyDescent="0.3">
      <c r="A6" s="53" t="s">
        <v>144</v>
      </c>
      <c r="B6" s="79">
        <v>170000</v>
      </c>
    </row>
    <row r="7" spans="1:2" ht="19.5" customHeight="1" x14ac:dyDescent="0.3">
      <c r="A7" s="30" t="s">
        <v>145</v>
      </c>
      <c r="B7" s="82">
        <v>210000</v>
      </c>
    </row>
    <row r="8" spans="1:2" x14ac:dyDescent="0.3">
      <c r="A8" s="17" t="s">
        <v>146</v>
      </c>
      <c r="B8" s="76">
        <v>230000</v>
      </c>
    </row>
    <row r="9" spans="1:2" x14ac:dyDescent="0.3">
      <c r="A9" s="14" t="s">
        <v>147</v>
      </c>
      <c r="B9" s="84">
        <v>200000</v>
      </c>
    </row>
    <row r="10" spans="1:2" x14ac:dyDescent="0.3">
      <c r="A10" s="19" t="s">
        <v>843</v>
      </c>
      <c r="B10" s="78">
        <v>190000</v>
      </c>
    </row>
    <row r="11" spans="1:2" x14ac:dyDescent="0.3">
      <c r="A11" s="30" t="s">
        <v>148</v>
      </c>
      <c r="B11" s="82">
        <v>140000</v>
      </c>
    </row>
    <row r="12" spans="1:2" x14ac:dyDescent="0.3">
      <c r="A12" s="16" t="s">
        <v>149</v>
      </c>
      <c r="B12" s="75">
        <v>110000</v>
      </c>
    </row>
    <row r="13" spans="1:2" x14ac:dyDescent="0.3">
      <c r="A13" s="16" t="s">
        <v>150</v>
      </c>
      <c r="B13" s="77">
        <v>110000</v>
      </c>
    </row>
    <row r="14" spans="1:2" x14ac:dyDescent="0.3">
      <c r="A14" s="14" t="s">
        <v>151</v>
      </c>
      <c r="B14" s="84">
        <v>160000</v>
      </c>
    </row>
    <row r="15" spans="1:2" x14ac:dyDescent="0.3">
      <c r="A15" s="29" t="s">
        <v>152</v>
      </c>
      <c r="B15" s="78">
        <v>60000</v>
      </c>
    </row>
    <row r="16" spans="1:2" x14ac:dyDescent="0.3">
      <c r="A16" s="30" t="s">
        <v>153</v>
      </c>
      <c r="B16" s="82">
        <v>220000</v>
      </c>
    </row>
    <row r="17" spans="1:2" x14ac:dyDescent="0.3">
      <c r="A17" s="34" t="s">
        <v>154</v>
      </c>
      <c r="B17" s="85">
        <v>190000</v>
      </c>
    </row>
    <row r="18" spans="1:2" x14ac:dyDescent="0.3">
      <c r="A18" s="14" t="s">
        <v>155</v>
      </c>
      <c r="B18" s="74">
        <v>140000</v>
      </c>
    </row>
    <row r="19" spans="1:2" x14ac:dyDescent="0.3">
      <c r="A19" s="33" t="s">
        <v>156</v>
      </c>
      <c r="B19" s="73">
        <v>100000</v>
      </c>
    </row>
    <row r="20" spans="1:2" x14ac:dyDescent="0.3">
      <c r="A20" s="33" t="s">
        <v>157</v>
      </c>
      <c r="B20" s="83">
        <v>60000</v>
      </c>
    </row>
    <row r="21" spans="1:2" x14ac:dyDescent="0.3">
      <c r="A21" s="68" t="s">
        <v>158</v>
      </c>
      <c r="B21" s="81">
        <v>90000</v>
      </c>
    </row>
    <row r="22" spans="1:2" x14ac:dyDescent="0.3">
      <c r="A22" s="67" t="s">
        <v>159</v>
      </c>
      <c r="B22" s="80">
        <v>150000</v>
      </c>
    </row>
    <row r="23" spans="1:2" x14ac:dyDescent="0.3">
      <c r="A23" s="53" t="s">
        <v>160</v>
      </c>
      <c r="B23" s="79">
        <v>180000</v>
      </c>
    </row>
    <row r="24" spans="1:2" x14ac:dyDescent="0.3">
      <c r="A24" s="17" t="s">
        <v>161</v>
      </c>
      <c r="B24" s="76">
        <v>140000</v>
      </c>
    </row>
    <row r="25" spans="1:2" x14ac:dyDescent="0.3">
      <c r="A25" s="17" t="s">
        <v>162</v>
      </c>
      <c r="B25" s="76">
        <v>230000</v>
      </c>
    </row>
    <row r="26" spans="1:2" x14ac:dyDescent="0.3">
      <c r="A26" s="17" t="s">
        <v>163</v>
      </c>
      <c r="B26" s="76">
        <v>170000</v>
      </c>
    </row>
    <row r="27" spans="1:2" x14ac:dyDescent="0.3">
      <c r="A27" s="14" t="s">
        <v>164</v>
      </c>
      <c r="B27" s="84">
        <v>170000</v>
      </c>
    </row>
    <row r="28" spans="1:2" x14ac:dyDescent="0.3">
      <c r="A28" s="29" t="s">
        <v>165</v>
      </c>
      <c r="B28" s="78">
        <v>170000</v>
      </c>
    </row>
    <row r="29" spans="1:2" x14ac:dyDescent="0.3">
      <c r="A29" s="30" t="s">
        <v>166</v>
      </c>
      <c r="B29" s="82">
        <v>130000</v>
      </c>
    </row>
    <row r="30" spans="1:2" x14ac:dyDescent="0.3">
      <c r="A30" s="61" t="s">
        <v>140</v>
      </c>
      <c r="B30" s="70">
        <v>150000</v>
      </c>
    </row>
    <row r="31" spans="1:2" x14ac:dyDescent="0.3">
      <c r="A31" s="64"/>
      <c r="B31" s="64"/>
    </row>
    <row r="32" spans="1:2" x14ac:dyDescent="0.3">
      <c r="A32" s="33"/>
      <c r="B32" s="33"/>
    </row>
    <row r="33" spans="1:2" x14ac:dyDescent="0.3">
      <c r="A33" s="33"/>
      <c r="B33" s="33"/>
    </row>
    <row r="34" spans="1:2" x14ac:dyDescent="0.3">
      <c r="A34" s="64"/>
      <c r="B34" s="64"/>
    </row>
    <row r="35" spans="1:2" x14ac:dyDescent="0.3">
      <c r="A35" s="14"/>
      <c r="B35" s="74"/>
    </row>
    <row r="36" spans="1:2" x14ac:dyDescent="0.3">
      <c r="A36" s="16"/>
      <c r="B36" s="75"/>
    </row>
    <row r="37" spans="1:2" ht="18" customHeight="1" x14ac:dyDescent="0.3">
      <c r="A37" s="16"/>
      <c r="B37" s="75"/>
    </row>
    <row r="38" spans="1:2" x14ac:dyDescent="0.3">
      <c r="A38" s="17"/>
      <c r="B38" s="76"/>
    </row>
    <row r="39" spans="1:2" x14ac:dyDescent="0.3">
      <c r="A39" s="17"/>
      <c r="B39" s="76"/>
    </row>
    <row r="40" spans="1:2" x14ac:dyDescent="0.3">
      <c r="A40" s="16"/>
      <c r="B40" s="77"/>
    </row>
    <row r="41" spans="1:2" x14ac:dyDescent="0.3">
      <c r="A41" s="64"/>
      <c r="B41" s="64"/>
    </row>
    <row r="42" spans="1:2" x14ac:dyDescent="0.3">
      <c r="A42" s="29"/>
      <c r="B42" s="78"/>
    </row>
    <row r="43" spans="1:2" x14ac:dyDescent="0.3">
      <c r="A43" s="29"/>
      <c r="B43" s="78"/>
    </row>
    <row r="44" spans="1:2" x14ac:dyDescent="0.3">
      <c r="A44" s="29"/>
      <c r="B44" s="78"/>
    </row>
    <row r="45" spans="1:2" x14ac:dyDescent="0.3">
      <c r="A45" s="53"/>
      <c r="B45" s="79"/>
    </row>
    <row r="46" spans="1:2" x14ac:dyDescent="0.3">
      <c r="A46" s="67"/>
      <c r="B46" s="80"/>
    </row>
    <row r="47" spans="1:2" x14ac:dyDescent="0.3">
      <c r="A47" s="68"/>
      <c r="B47" s="81"/>
    </row>
    <row r="48" spans="1:2" x14ac:dyDescent="0.3">
      <c r="A48" s="30"/>
      <c r="B48" s="82"/>
    </row>
    <row r="49" spans="1:2" x14ac:dyDescent="0.3">
      <c r="A49" s="30"/>
      <c r="B49" s="82"/>
    </row>
    <row r="50" spans="1:2" x14ac:dyDescent="0.3">
      <c r="A50" s="33"/>
      <c r="B50" s="83"/>
    </row>
    <row r="51" spans="1:2" x14ac:dyDescent="0.3">
      <c r="A51" s="33"/>
      <c r="B51" s="83"/>
    </row>
    <row r="52" spans="1:2" x14ac:dyDescent="0.3">
      <c r="A52" s="33"/>
      <c r="B52" s="83"/>
    </row>
    <row r="53" spans="1:2" x14ac:dyDescent="0.3">
      <c r="A53" s="64"/>
      <c r="B53" s="64"/>
    </row>
    <row r="54" spans="1:2" x14ac:dyDescent="0.3">
      <c r="A54" s="29"/>
      <c r="B54" s="78"/>
    </row>
    <row r="55" spans="1:2" x14ac:dyDescent="0.3">
      <c r="A55" s="29"/>
      <c r="B55" s="78"/>
    </row>
    <row r="56" spans="1:2" x14ac:dyDescent="0.3">
      <c r="A56" s="16"/>
      <c r="B56" s="77"/>
    </row>
    <row r="57" spans="1:2" x14ac:dyDescent="0.3">
      <c r="A57" s="30"/>
      <c r="B57" s="82"/>
    </row>
    <row r="58" spans="1:2" x14ac:dyDescent="0.3">
      <c r="A58" s="30"/>
      <c r="B58" s="82"/>
    </row>
    <row r="59" spans="1:2" x14ac:dyDescent="0.3">
      <c r="A59" s="14"/>
      <c r="B59" s="84"/>
    </row>
    <row r="60" spans="1:2" x14ac:dyDescent="0.3">
      <c r="A60" s="17"/>
      <c r="B60" s="76"/>
    </row>
    <row r="61" spans="1:2" x14ac:dyDescent="0.3">
      <c r="A61" s="17"/>
      <c r="B61" s="76"/>
    </row>
    <row r="62" spans="1:2" x14ac:dyDescent="0.3">
      <c r="A62" s="64"/>
      <c r="B62" s="64"/>
    </row>
    <row r="63" spans="1:2" x14ac:dyDescent="0.3">
      <c r="A63" s="33"/>
      <c r="B63" s="83"/>
    </row>
    <row r="64" spans="1:2" x14ac:dyDescent="0.3">
      <c r="A64" s="33"/>
      <c r="B64" s="83"/>
    </row>
    <row r="65" spans="1:2" x14ac:dyDescent="0.3">
      <c r="A65" s="33"/>
      <c r="B65" s="83"/>
    </row>
    <row r="66" spans="1:2" x14ac:dyDescent="0.3">
      <c r="A66" s="34"/>
      <c r="B66" s="85"/>
    </row>
    <row r="67" spans="1:2" x14ac:dyDescent="0.3">
      <c r="A67" s="34"/>
      <c r="B67" s="85"/>
    </row>
    <row r="68" spans="1:2" x14ac:dyDescent="0.3">
      <c r="A68" s="30"/>
      <c r="B68" s="82"/>
    </row>
    <row r="69" spans="1:2" x14ac:dyDescent="0.3">
      <c r="A69" s="29"/>
      <c r="B69" s="78"/>
    </row>
    <row r="70" spans="1:2" x14ac:dyDescent="0.3">
      <c r="A70" s="29"/>
      <c r="B70" s="78"/>
    </row>
    <row r="71" spans="1:2" x14ac:dyDescent="0.3">
      <c r="A71" s="30"/>
      <c r="B71" s="82"/>
    </row>
    <row r="72" spans="1:2" x14ac:dyDescent="0.3">
      <c r="A72" s="30"/>
      <c r="B72" s="82"/>
    </row>
    <row r="73" spans="1:2" x14ac:dyDescent="0.3">
      <c r="A73" s="17"/>
      <c r="B73" s="76"/>
    </row>
    <row r="74" spans="1:2" x14ac:dyDescent="0.3">
      <c r="A74" s="14"/>
      <c r="B74" s="84"/>
    </row>
    <row r="75" spans="1:2" x14ac:dyDescent="0.3">
      <c r="A75" s="64"/>
      <c r="B75" s="64"/>
    </row>
    <row r="76" spans="1:2" x14ac:dyDescent="0.3">
      <c r="A76" s="53"/>
      <c r="B76" s="79"/>
    </row>
    <row r="77" spans="1:2" x14ac:dyDescent="0.3">
      <c r="A77" s="30"/>
      <c r="B77" s="82"/>
    </row>
    <row r="78" spans="1:2" x14ac:dyDescent="0.3">
      <c r="A78" s="14"/>
      <c r="B78" s="84"/>
    </row>
    <row r="79" spans="1:2" x14ac:dyDescent="0.3">
      <c r="A79" s="14"/>
      <c r="B79" s="84"/>
    </row>
    <row r="80" spans="1:2" x14ac:dyDescent="0.3">
      <c r="A80" s="17"/>
      <c r="B80" s="76"/>
    </row>
  </sheetData>
  <sortState ref="A1:B79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46"/>
  <sheetViews>
    <sheetView tabSelected="1" workbookViewId="0">
      <selection activeCell="E5" sqref="E5"/>
    </sheetView>
  </sheetViews>
  <sheetFormatPr defaultRowHeight="18.75" x14ac:dyDescent="0.3"/>
  <cols>
    <col min="2" max="2" width="26.21875" customWidth="1"/>
    <col min="4" max="4" width="37.5546875" customWidth="1"/>
  </cols>
  <sheetData>
    <row r="2" spans="2:6" x14ac:dyDescent="0.3">
      <c r="D2" s="89"/>
    </row>
    <row r="3" spans="2:6" x14ac:dyDescent="0.3">
      <c r="B3" s="91" t="s">
        <v>168</v>
      </c>
      <c r="C3" s="91" t="s">
        <v>807</v>
      </c>
      <c r="D3" s="90" t="s">
        <v>831</v>
      </c>
    </row>
    <row r="4" spans="2:6" x14ac:dyDescent="0.3">
      <c r="B4" s="87" t="s">
        <v>169</v>
      </c>
      <c r="C4" s="88" t="s">
        <v>808</v>
      </c>
      <c r="D4" s="90" t="s">
        <v>98</v>
      </c>
      <c r="E4" t="str">
        <f>IFERROR(INDEX(Sheet3!$A$2:$A$30,MATCH(TRUE,ISNUMBER(SEARCH(Sheet3!$A$2:$A$30,D4)),0)),"")</f>
        <v/>
      </c>
      <c r="F4" t="str">
        <f>IFERROR(INDEX(Sheet3!$A$2:$A$30,MATCH(TRUE,ISNUMBER(SEARCH(Sheet3!$A$2:$A$30,Sheet4!D4)),0)),"")</f>
        <v/>
      </c>
    </row>
    <row r="5" spans="2:6" x14ac:dyDescent="0.3">
      <c r="B5" s="87" t="s">
        <v>170</v>
      </c>
      <c r="C5" s="88" t="s">
        <v>808</v>
      </c>
      <c r="D5" s="90" t="s">
        <v>832</v>
      </c>
      <c r="E5" t="str">
        <f>IFERROR(INDEX(Sheet3!$A$2:$A$30,MATCH(TRUE,ISNUMBER(SEARCH(Sheet3!$A$2:$A$30,D5)),0)),"")</f>
        <v/>
      </c>
    </row>
    <row r="6" spans="2:6" x14ac:dyDescent="0.3">
      <c r="B6" s="87" t="s">
        <v>171</v>
      </c>
      <c r="C6" s="88" t="s">
        <v>808</v>
      </c>
      <c r="D6" s="90" t="s">
        <v>3</v>
      </c>
      <c r="E6" t="str">
        <f>IFERROR(INDEX(Sheet3!$A$2:$A$30,MATCH(TRUE,ISNUMBER(SEARCH(Sheet3!$A$2:$A$30,D6)),0)),"")</f>
        <v/>
      </c>
    </row>
    <row r="7" spans="2:6" x14ac:dyDescent="0.3">
      <c r="B7" s="87" t="s">
        <v>172</v>
      </c>
      <c r="C7" s="88" t="s">
        <v>808</v>
      </c>
      <c r="D7" s="90" t="s">
        <v>833</v>
      </c>
      <c r="E7" t="str">
        <f>IFERROR(INDEX(Sheet3!$A$2:$A$30,MATCH(TRUE,ISNUMBER(SEARCH(Sheet3!$A$2:$A$30,D7)),0)),"")</f>
        <v/>
      </c>
    </row>
    <row r="8" spans="2:6" x14ac:dyDescent="0.3">
      <c r="B8" s="87" t="s">
        <v>173</v>
      </c>
      <c r="C8" s="88" t="s">
        <v>808</v>
      </c>
      <c r="D8" s="90" t="s">
        <v>98</v>
      </c>
      <c r="E8" t="str">
        <f>IFERROR(INDEX(Sheet3!$A$2:$A$30,MATCH(TRUE,ISNUMBER(SEARCH(Sheet3!$A$2:$A$30,D8)),0)),"")</f>
        <v/>
      </c>
    </row>
    <row r="9" spans="2:6" x14ac:dyDescent="0.3">
      <c r="B9" s="87" t="s">
        <v>174</v>
      </c>
      <c r="C9" s="88" t="s">
        <v>808</v>
      </c>
      <c r="D9" s="90" t="s">
        <v>832</v>
      </c>
      <c r="E9" t="str">
        <f>IFERROR(INDEX(Sheet3!$A$2:$A$30,MATCH(TRUE,ISNUMBER(SEARCH(Sheet3!$A$2:$A$30,D9)),0)),"")</f>
        <v/>
      </c>
    </row>
    <row r="10" spans="2:6" x14ac:dyDescent="0.3">
      <c r="B10" s="87" t="s">
        <v>175</v>
      </c>
      <c r="C10" s="88" t="s">
        <v>808</v>
      </c>
      <c r="D10" s="90" t="s">
        <v>3</v>
      </c>
      <c r="E10" t="str">
        <f>IFERROR(INDEX(Sheet3!$A$2:$A$30,MATCH(TRUE,ISNUMBER(SEARCH(Sheet3!$A$2:$A$30,D10)),0)),"")</f>
        <v/>
      </c>
    </row>
    <row r="11" spans="2:6" x14ac:dyDescent="0.3">
      <c r="B11" s="87" t="s">
        <v>176</v>
      </c>
      <c r="C11" s="88" t="s">
        <v>808</v>
      </c>
      <c r="D11" s="90" t="s">
        <v>3</v>
      </c>
      <c r="E11" t="str">
        <f>IFERROR(INDEX(Sheet3!$A$2:$A$30,MATCH(TRUE,ISNUMBER(SEARCH(Sheet3!$A$2:$A$30,D11)),0)),"")</f>
        <v/>
      </c>
    </row>
    <row r="12" spans="2:6" x14ac:dyDescent="0.3">
      <c r="B12" s="87" t="s">
        <v>177</v>
      </c>
      <c r="C12" s="88" t="s">
        <v>808</v>
      </c>
      <c r="D12" s="90" t="s">
        <v>3</v>
      </c>
      <c r="E12" t="str">
        <f>IFERROR(INDEX(Sheet3!$A$2:$A$30,MATCH(TRUE,ISNUMBER(SEARCH(Sheet3!$A$2:$A$30,D12)),0)),"")</f>
        <v/>
      </c>
    </row>
    <row r="13" spans="2:6" x14ac:dyDescent="0.3">
      <c r="B13" s="87" t="s">
        <v>178</v>
      </c>
      <c r="C13" s="88" t="s">
        <v>808</v>
      </c>
      <c r="D13" s="90" t="s">
        <v>832</v>
      </c>
      <c r="E13" t="str">
        <f>IFERROR(INDEX(Sheet3!$A$2:$A$30,MATCH(TRUE,ISNUMBER(SEARCH(Sheet3!$A$2:$A$30,D13)),0)),"")</f>
        <v/>
      </c>
    </row>
    <row r="14" spans="2:6" x14ac:dyDescent="0.3">
      <c r="B14" s="87" t="s">
        <v>179</v>
      </c>
      <c r="C14" s="88" t="s">
        <v>808</v>
      </c>
      <c r="D14" s="90" t="s">
        <v>98</v>
      </c>
      <c r="E14" t="str">
        <f>IFERROR(INDEX(Sheet3!$A$2:$A$30,MATCH(TRUE,ISNUMBER(SEARCH(Sheet3!$A$2:$A$30,D14)),0)),"")</f>
        <v/>
      </c>
    </row>
    <row r="15" spans="2:6" x14ac:dyDescent="0.3">
      <c r="B15" s="87" t="s">
        <v>180</v>
      </c>
      <c r="C15" s="88" t="s">
        <v>808</v>
      </c>
      <c r="D15" s="90" t="s">
        <v>98</v>
      </c>
      <c r="E15" t="str">
        <f>IFERROR(INDEX(Sheet3!$A$2:$A$30,MATCH(TRUE,ISNUMBER(SEARCH(Sheet3!$A$2:$A$30,D15)),0)),"")</f>
        <v/>
      </c>
    </row>
    <row r="16" spans="2:6" x14ac:dyDescent="0.3">
      <c r="B16" s="87" t="s">
        <v>181</v>
      </c>
      <c r="C16" s="88" t="s">
        <v>808</v>
      </c>
      <c r="D16" s="90" t="s">
        <v>3</v>
      </c>
      <c r="E16" t="str">
        <f>IFERROR(INDEX(Sheet3!$A$2:$A$30,MATCH(TRUE,ISNUMBER(SEARCH(Sheet3!$A$2:$A$30,D16)),0)),"")</f>
        <v/>
      </c>
    </row>
    <row r="17" spans="2:5" x14ac:dyDescent="0.3">
      <c r="B17" s="87" t="s">
        <v>182</v>
      </c>
      <c r="C17" s="88" t="s">
        <v>808</v>
      </c>
      <c r="D17" s="90" t="s">
        <v>3</v>
      </c>
      <c r="E17" t="str">
        <f>IFERROR(INDEX(Sheet3!$A$2:$A$30,MATCH(TRUE,ISNUMBER(SEARCH(Sheet3!$A$2:$A$30,D17)),0)),"")</f>
        <v/>
      </c>
    </row>
    <row r="18" spans="2:5" x14ac:dyDescent="0.3">
      <c r="B18" s="87" t="s">
        <v>183</v>
      </c>
      <c r="C18" s="88" t="s">
        <v>808</v>
      </c>
      <c r="D18" s="90" t="s">
        <v>832</v>
      </c>
      <c r="E18" t="str">
        <f>IFERROR(INDEX(Sheet3!$A$2:$A$30,MATCH(TRUE,ISNUMBER(SEARCH(Sheet3!$A$2:$A$30,D18)),0)),"")</f>
        <v/>
      </c>
    </row>
    <row r="19" spans="2:5" x14ac:dyDescent="0.3">
      <c r="B19" s="87" t="s">
        <v>184</v>
      </c>
      <c r="C19" s="88" t="s">
        <v>808</v>
      </c>
      <c r="D19" s="90" t="s">
        <v>832</v>
      </c>
      <c r="E19" t="str">
        <f>IFERROR(INDEX(Sheet3!$A$2:$A$30,MATCH(TRUE,ISNUMBER(SEARCH(Sheet3!$A$2:$A$30,D19)),0)),"")</f>
        <v/>
      </c>
    </row>
    <row r="20" spans="2:5" x14ac:dyDescent="0.3">
      <c r="B20" s="87" t="s">
        <v>185</v>
      </c>
      <c r="C20" s="88" t="s">
        <v>808</v>
      </c>
      <c r="D20" s="90" t="s">
        <v>3</v>
      </c>
      <c r="E20" t="str">
        <f>IFERROR(INDEX(Sheet3!$A$2:$A$30,MATCH(TRUE,ISNUMBER(SEARCH(Sheet3!$A$2:$A$30,D20)),0)),"")</f>
        <v/>
      </c>
    </row>
    <row r="21" spans="2:5" x14ac:dyDescent="0.3">
      <c r="B21" s="87" t="s">
        <v>186</v>
      </c>
      <c r="C21" s="88" t="s">
        <v>808</v>
      </c>
      <c r="D21" s="90" t="s">
        <v>3</v>
      </c>
      <c r="E21" t="str">
        <f>IFERROR(INDEX(Sheet3!$A$2:$A$30,MATCH(TRUE,ISNUMBER(SEARCH(Sheet3!$A$2:$A$30,D21)),0)),"")</f>
        <v/>
      </c>
    </row>
    <row r="22" spans="2:5" x14ac:dyDescent="0.3">
      <c r="B22" s="87" t="s">
        <v>187</v>
      </c>
      <c r="C22" s="88" t="s">
        <v>808</v>
      </c>
      <c r="D22" s="90" t="s">
        <v>98</v>
      </c>
      <c r="E22" t="str">
        <f>IFERROR(INDEX(Sheet3!$A$2:$A$30,MATCH(TRUE,ISNUMBER(SEARCH(Sheet3!$A$2:$A$30,D22)),0)),"")</f>
        <v/>
      </c>
    </row>
    <row r="23" spans="2:5" x14ac:dyDescent="0.3">
      <c r="B23" s="87" t="s">
        <v>188</v>
      </c>
      <c r="C23" s="88" t="s">
        <v>808</v>
      </c>
      <c r="D23" s="90" t="s">
        <v>98</v>
      </c>
      <c r="E23" t="str">
        <f>IFERROR(INDEX(Sheet3!$A$2:$A$30,MATCH(TRUE,ISNUMBER(SEARCH(Sheet3!$A$2:$A$30,D23)),0)),"")</f>
        <v/>
      </c>
    </row>
    <row r="24" spans="2:5" x14ac:dyDescent="0.3">
      <c r="B24" s="87" t="s">
        <v>189</v>
      </c>
      <c r="C24" s="88" t="s">
        <v>808</v>
      </c>
      <c r="D24" s="90" t="s">
        <v>3</v>
      </c>
      <c r="E24" t="str">
        <f>IFERROR(INDEX(Sheet3!$A$2:$A$30,MATCH(TRUE,ISNUMBER(SEARCH(Sheet3!$A$2:$A$30,D24)),0)),"")</f>
        <v/>
      </c>
    </row>
    <row r="25" spans="2:5" x14ac:dyDescent="0.3">
      <c r="B25" s="87" t="s">
        <v>190</v>
      </c>
      <c r="C25" s="88" t="s">
        <v>808</v>
      </c>
      <c r="D25" s="90" t="s">
        <v>3</v>
      </c>
      <c r="E25" t="str">
        <f>IFERROR(INDEX(Sheet3!$A$2:$A$30,MATCH(TRUE,ISNUMBER(SEARCH(Sheet3!$A$2:$A$30,D25)),0)),"")</f>
        <v/>
      </c>
    </row>
    <row r="26" spans="2:5" x14ac:dyDescent="0.3">
      <c r="B26" s="87" t="s">
        <v>191</v>
      </c>
      <c r="C26" s="88" t="s">
        <v>808</v>
      </c>
      <c r="D26" s="90" t="s">
        <v>3</v>
      </c>
      <c r="E26" t="str">
        <f>IFERROR(INDEX(Sheet3!$A$2:$A$30,MATCH(TRUE,ISNUMBER(SEARCH(Sheet3!$A$2:$A$30,D26)),0)),"")</f>
        <v/>
      </c>
    </row>
    <row r="27" spans="2:5" x14ac:dyDescent="0.3">
      <c r="B27" s="87" t="s">
        <v>192</v>
      </c>
      <c r="C27" s="88" t="s">
        <v>808</v>
      </c>
      <c r="D27" s="90" t="s">
        <v>833</v>
      </c>
      <c r="E27" t="str">
        <f>IFERROR(INDEX(Sheet3!$A$2:$A$30,MATCH(TRUE,ISNUMBER(SEARCH(Sheet3!$A$2:$A$30,D27)),0)),"")</f>
        <v/>
      </c>
    </row>
    <row r="28" spans="2:5" x14ac:dyDescent="0.3">
      <c r="B28" s="87" t="s">
        <v>193</v>
      </c>
      <c r="C28" s="88" t="s">
        <v>808</v>
      </c>
      <c r="D28" s="90" t="s">
        <v>3</v>
      </c>
      <c r="E28" t="str">
        <f>IFERROR(INDEX(Sheet3!$A$2:$A$30,MATCH(TRUE,ISNUMBER(SEARCH(Sheet3!$A$2:$A$30,D28)),0)),"")</f>
        <v/>
      </c>
    </row>
    <row r="29" spans="2:5" x14ac:dyDescent="0.3">
      <c r="B29" s="87" t="s">
        <v>194</v>
      </c>
      <c r="C29" s="88" t="s">
        <v>808</v>
      </c>
      <c r="D29" s="90" t="s">
        <v>833</v>
      </c>
      <c r="E29" t="str">
        <f>IFERROR(INDEX(Sheet3!$A$2:$A$30,MATCH(TRUE,ISNUMBER(SEARCH(Sheet3!$A$2:$A$30,D29)),0)),"")</f>
        <v/>
      </c>
    </row>
    <row r="30" spans="2:5" x14ac:dyDescent="0.3">
      <c r="B30" s="87" t="s">
        <v>195</v>
      </c>
      <c r="C30" s="88" t="s">
        <v>808</v>
      </c>
      <c r="D30" s="90" t="s">
        <v>3</v>
      </c>
      <c r="E30" t="str">
        <f>IFERROR(INDEX(Sheet3!$A$2:$A$30,MATCH(TRUE,ISNUMBER(SEARCH(Sheet3!$A$2:$A$30,D30)),0)),"")</f>
        <v/>
      </c>
    </row>
    <row r="31" spans="2:5" x14ac:dyDescent="0.3">
      <c r="B31" s="87" t="s">
        <v>196</v>
      </c>
      <c r="C31" s="88" t="s">
        <v>808</v>
      </c>
      <c r="D31" s="90" t="s">
        <v>3</v>
      </c>
      <c r="E31" t="str">
        <f>IFERROR(INDEX(Sheet3!$A$2:$A$30,MATCH(TRUE,ISNUMBER(SEARCH(Sheet3!$A$2:$A$30,D31)),0)),"")</f>
        <v/>
      </c>
    </row>
    <row r="32" spans="2:5" x14ac:dyDescent="0.3">
      <c r="B32" s="87" t="s">
        <v>197</v>
      </c>
      <c r="C32" s="88" t="s">
        <v>808</v>
      </c>
      <c r="D32" s="90" t="s">
        <v>3</v>
      </c>
      <c r="E32" t="str">
        <f>IFERROR(INDEX(Sheet3!$A$2:$A$30,MATCH(TRUE,ISNUMBER(SEARCH(Sheet3!$A$2:$A$30,D32)),0)),"")</f>
        <v/>
      </c>
    </row>
    <row r="33" spans="2:5" x14ac:dyDescent="0.3">
      <c r="B33" s="87" t="s">
        <v>198</v>
      </c>
      <c r="C33" s="88" t="s">
        <v>809</v>
      </c>
      <c r="D33" s="90" t="s">
        <v>98</v>
      </c>
      <c r="E33" t="str">
        <f>IFERROR(INDEX(Sheet3!$A$2:$A$30,MATCH(TRUE,ISNUMBER(SEARCH(Sheet3!$A$2:$A$30,D33)),0)),"")</f>
        <v/>
      </c>
    </row>
    <row r="34" spans="2:5" x14ac:dyDescent="0.3">
      <c r="B34" s="87" t="s">
        <v>199</v>
      </c>
      <c r="C34" s="88" t="s">
        <v>809</v>
      </c>
      <c r="D34" s="90" t="s">
        <v>3</v>
      </c>
      <c r="E34" t="str">
        <f>IFERROR(INDEX(Sheet3!$A$2:$A$30,MATCH(TRUE,ISNUMBER(SEARCH(Sheet3!$A$2:$A$30,D34)),0)),"")</f>
        <v/>
      </c>
    </row>
    <row r="35" spans="2:5" x14ac:dyDescent="0.3">
      <c r="B35" s="87" t="s">
        <v>200</v>
      </c>
      <c r="C35" s="88" t="s">
        <v>809</v>
      </c>
      <c r="D35" s="90" t="s">
        <v>832</v>
      </c>
      <c r="E35" t="str">
        <f>IFERROR(INDEX(Sheet3!$A$2:$A$30,MATCH(TRUE,ISNUMBER(SEARCH(Sheet3!$A$2:$A$30,D35)),0)),"")</f>
        <v/>
      </c>
    </row>
    <row r="36" spans="2:5" x14ac:dyDescent="0.3">
      <c r="B36" s="87" t="s">
        <v>201</v>
      </c>
      <c r="C36" s="88" t="s">
        <v>809</v>
      </c>
      <c r="D36" s="90" t="s">
        <v>98</v>
      </c>
      <c r="E36" t="str">
        <f>IFERROR(INDEX(Sheet3!$A$2:$A$30,MATCH(TRUE,ISNUMBER(SEARCH(Sheet3!$A$2:$A$30,D36)),0)),"")</f>
        <v/>
      </c>
    </row>
    <row r="37" spans="2:5" x14ac:dyDescent="0.3">
      <c r="B37" s="87" t="s">
        <v>202</v>
      </c>
      <c r="C37" s="88" t="s">
        <v>809</v>
      </c>
      <c r="D37" s="90" t="s">
        <v>832</v>
      </c>
      <c r="E37" t="str">
        <f>IFERROR(INDEX(Sheet3!$A$2:$A$30,MATCH(TRUE,ISNUMBER(SEARCH(Sheet3!$A$2:$A$30,D37)),0)),"")</f>
        <v/>
      </c>
    </row>
    <row r="38" spans="2:5" x14ac:dyDescent="0.3">
      <c r="B38" s="87" t="s">
        <v>203</v>
      </c>
      <c r="C38" s="88" t="s">
        <v>809</v>
      </c>
      <c r="D38" s="90" t="s">
        <v>98</v>
      </c>
      <c r="E38" t="str">
        <f>IFERROR(INDEX(Sheet3!$A$2:$A$30,MATCH(TRUE,ISNUMBER(SEARCH(Sheet3!$A$2:$A$30,D38)),0)),"")</f>
        <v/>
      </c>
    </row>
    <row r="39" spans="2:5" x14ac:dyDescent="0.3">
      <c r="B39" s="87" t="s">
        <v>204</v>
      </c>
      <c r="C39" s="88" t="s">
        <v>809</v>
      </c>
      <c r="D39" s="90" t="s">
        <v>832</v>
      </c>
      <c r="E39" t="str">
        <f>IFERROR(INDEX(Sheet3!$A$2:$A$30,MATCH(TRUE,ISNUMBER(SEARCH(Sheet3!$A$2:$A$30,D39)),0)),"")</f>
        <v/>
      </c>
    </row>
    <row r="40" spans="2:5" x14ac:dyDescent="0.3">
      <c r="B40" s="87" t="s">
        <v>205</v>
      </c>
      <c r="C40" s="88" t="s">
        <v>809</v>
      </c>
      <c r="D40" s="90" t="s">
        <v>98</v>
      </c>
      <c r="E40" t="str">
        <f>IFERROR(INDEX(Sheet3!$A$2:$A$30,MATCH(TRUE,ISNUMBER(SEARCH(Sheet3!$A$2:$A$30,D40)),0)),"")</f>
        <v/>
      </c>
    </row>
    <row r="41" spans="2:5" x14ac:dyDescent="0.3">
      <c r="B41" s="87" t="s">
        <v>206</v>
      </c>
      <c r="C41" s="88" t="s">
        <v>809</v>
      </c>
      <c r="D41" s="90" t="s">
        <v>3</v>
      </c>
      <c r="E41" t="str">
        <f>IFERROR(INDEX(Sheet3!$A$2:$A$30,MATCH(TRUE,ISNUMBER(SEARCH(Sheet3!$A$2:$A$30,D41)),0)),"")</f>
        <v/>
      </c>
    </row>
    <row r="42" spans="2:5" x14ac:dyDescent="0.3">
      <c r="B42" s="87" t="s">
        <v>207</v>
      </c>
      <c r="C42" s="88" t="s">
        <v>809</v>
      </c>
      <c r="D42" s="90" t="s">
        <v>3</v>
      </c>
      <c r="E42" t="str">
        <f>IFERROR(INDEX(Sheet3!$A$2:$A$30,MATCH(TRUE,ISNUMBER(SEARCH(Sheet3!$A$2:$A$30,D42)),0)),"")</f>
        <v/>
      </c>
    </row>
    <row r="43" spans="2:5" x14ac:dyDescent="0.3">
      <c r="B43" s="87" t="s">
        <v>208</v>
      </c>
      <c r="C43" s="88" t="s">
        <v>809</v>
      </c>
      <c r="D43" s="90" t="s">
        <v>832</v>
      </c>
      <c r="E43" t="str">
        <f>IFERROR(INDEX(Sheet3!$A$2:$A$30,MATCH(TRUE,ISNUMBER(SEARCH(Sheet3!$A$2:$A$30,D43)),0)),"")</f>
        <v/>
      </c>
    </row>
    <row r="44" spans="2:5" x14ac:dyDescent="0.3">
      <c r="B44" s="87" t="s">
        <v>209</v>
      </c>
      <c r="C44" s="88" t="s">
        <v>809</v>
      </c>
      <c r="D44" s="90" t="s">
        <v>833</v>
      </c>
      <c r="E44" t="str">
        <f>IFERROR(INDEX(Sheet3!$A$2:$A$30,MATCH(TRUE,ISNUMBER(SEARCH(Sheet3!$A$2:$A$30,D44)),0)),"")</f>
        <v/>
      </c>
    </row>
    <row r="45" spans="2:5" x14ac:dyDescent="0.3">
      <c r="B45" s="87" t="s">
        <v>210</v>
      </c>
      <c r="C45" s="88" t="s">
        <v>809</v>
      </c>
      <c r="D45" s="90" t="s">
        <v>832</v>
      </c>
      <c r="E45" t="str">
        <f>IFERROR(INDEX(Sheet3!$A$2:$A$30,MATCH(TRUE,ISNUMBER(SEARCH(Sheet3!$A$2:$A$30,D45)),0)),"")</f>
        <v/>
      </c>
    </row>
    <row r="46" spans="2:5" x14ac:dyDescent="0.3">
      <c r="B46" s="87" t="s">
        <v>211</v>
      </c>
      <c r="C46" s="88" t="s">
        <v>809</v>
      </c>
      <c r="D46" s="90" t="s">
        <v>832</v>
      </c>
      <c r="E46" t="str">
        <f>IFERROR(INDEX(Sheet3!$A$2:$A$30,MATCH(TRUE,ISNUMBER(SEARCH(Sheet3!$A$2:$A$30,D46)),0)),"")</f>
        <v/>
      </c>
    </row>
    <row r="47" spans="2:5" x14ac:dyDescent="0.3">
      <c r="B47" s="87" t="s">
        <v>212</v>
      </c>
      <c r="C47" s="88" t="s">
        <v>809</v>
      </c>
      <c r="D47" s="90" t="s">
        <v>3</v>
      </c>
      <c r="E47" t="str">
        <f>IFERROR(INDEX(Sheet3!$A$2:$A$30,MATCH(TRUE,ISNUMBER(SEARCH(Sheet3!$A$2:$A$30,D47)),0)),"")</f>
        <v/>
      </c>
    </row>
    <row r="48" spans="2:5" x14ac:dyDescent="0.3">
      <c r="B48" s="87" t="s">
        <v>213</v>
      </c>
      <c r="C48" s="88" t="s">
        <v>809</v>
      </c>
      <c r="D48" s="90" t="s">
        <v>3</v>
      </c>
      <c r="E48" t="str">
        <f>IFERROR(INDEX(Sheet3!$A$2:$A$30,MATCH(TRUE,ISNUMBER(SEARCH(Sheet3!$A$2:$A$30,D48)),0)),"")</f>
        <v/>
      </c>
    </row>
    <row r="49" spans="2:5" x14ac:dyDescent="0.3">
      <c r="B49" s="87" t="s">
        <v>184</v>
      </c>
      <c r="C49" s="88" t="s">
        <v>809</v>
      </c>
      <c r="D49" s="90" t="s">
        <v>832</v>
      </c>
      <c r="E49" t="str">
        <f>IFERROR(INDEX(Sheet3!$A$2:$A$30,MATCH(TRUE,ISNUMBER(SEARCH(Sheet3!$A$2:$A$30,D49)),0)),"")</f>
        <v/>
      </c>
    </row>
    <row r="50" spans="2:5" x14ac:dyDescent="0.3">
      <c r="B50" s="87" t="s">
        <v>214</v>
      </c>
      <c r="C50" s="88" t="s">
        <v>809</v>
      </c>
      <c r="D50" s="90" t="s">
        <v>832</v>
      </c>
      <c r="E50" t="str">
        <f>IFERROR(INDEX(Sheet3!$A$2:$A$30,MATCH(TRUE,ISNUMBER(SEARCH(Sheet3!$A$2:$A$30,D50)),0)),"")</f>
        <v/>
      </c>
    </row>
    <row r="51" spans="2:5" x14ac:dyDescent="0.3">
      <c r="B51" s="87" t="s">
        <v>215</v>
      </c>
      <c r="C51" s="88" t="s">
        <v>809</v>
      </c>
      <c r="D51" s="90" t="s">
        <v>833</v>
      </c>
      <c r="E51" t="str">
        <f>IFERROR(INDEX(Sheet3!$A$2:$A$30,MATCH(TRUE,ISNUMBER(SEARCH(Sheet3!$A$2:$A$30,D51)),0)),"")</f>
        <v/>
      </c>
    </row>
    <row r="52" spans="2:5" x14ac:dyDescent="0.3">
      <c r="B52" s="87" t="s">
        <v>216</v>
      </c>
      <c r="C52" s="88" t="s">
        <v>809</v>
      </c>
      <c r="D52" s="90" t="s">
        <v>98</v>
      </c>
      <c r="E52" t="str">
        <f>IFERROR(INDEX(Sheet3!$A$2:$A$30,MATCH(TRUE,ISNUMBER(SEARCH(Sheet3!$A$2:$A$30,D52)),0)),"")</f>
        <v/>
      </c>
    </row>
    <row r="53" spans="2:5" x14ac:dyDescent="0.3">
      <c r="B53" s="87" t="s">
        <v>217</v>
      </c>
      <c r="C53" s="88" t="s">
        <v>809</v>
      </c>
      <c r="D53" s="90" t="s">
        <v>832</v>
      </c>
      <c r="E53" t="str">
        <f>IFERROR(INDEX(Sheet3!$A$2:$A$30,MATCH(TRUE,ISNUMBER(SEARCH(Sheet3!$A$2:$A$30,D53)),0)),"")</f>
        <v/>
      </c>
    </row>
    <row r="54" spans="2:5" x14ac:dyDescent="0.3">
      <c r="B54" s="87" t="s">
        <v>218</v>
      </c>
      <c r="C54" s="88" t="s">
        <v>809</v>
      </c>
      <c r="D54" s="90" t="s">
        <v>3</v>
      </c>
      <c r="E54" t="str">
        <f>IFERROR(INDEX(Sheet3!$A$2:$A$30,MATCH(TRUE,ISNUMBER(SEARCH(Sheet3!$A$2:$A$30,D54)),0)),"")</f>
        <v/>
      </c>
    </row>
    <row r="55" spans="2:5" x14ac:dyDescent="0.3">
      <c r="B55" s="87" t="s">
        <v>219</v>
      </c>
      <c r="C55" s="88" t="s">
        <v>809</v>
      </c>
      <c r="D55" s="90" t="s">
        <v>98</v>
      </c>
      <c r="E55" t="str">
        <f>IFERROR(INDEX(Sheet3!$A$2:$A$30,MATCH(TRUE,ISNUMBER(SEARCH(Sheet3!$A$2:$A$30,D55)),0)),"")</f>
        <v/>
      </c>
    </row>
    <row r="56" spans="2:5" x14ac:dyDescent="0.3">
      <c r="B56" s="87" t="s">
        <v>220</v>
      </c>
      <c r="C56" s="88" t="s">
        <v>809</v>
      </c>
      <c r="D56" s="90" t="s">
        <v>833</v>
      </c>
      <c r="E56" t="str">
        <f>IFERROR(INDEX(Sheet3!$A$2:$A$30,MATCH(TRUE,ISNUMBER(SEARCH(Sheet3!$A$2:$A$30,D56)),0)),"")</f>
        <v/>
      </c>
    </row>
    <row r="57" spans="2:5" x14ac:dyDescent="0.3">
      <c r="B57" s="87" t="s">
        <v>221</v>
      </c>
      <c r="C57" s="88" t="s">
        <v>809</v>
      </c>
      <c r="D57" s="90" t="s">
        <v>3</v>
      </c>
      <c r="E57" t="str">
        <f>IFERROR(INDEX(Sheet3!$A$2:$A$30,MATCH(TRUE,ISNUMBER(SEARCH(Sheet3!$A$2:$A$30,D57)),0)),"")</f>
        <v/>
      </c>
    </row>
    <row r="58" spans="2:5" x14ac:dyDescent="0.3">
      <c r="B58" s="87" t="s">
        <v>222</v>
      </c>
      <c r="C58" s="88" t="s">
        <v>809</v>
      </c>
      <c r="D58" s="90" t="s">
        <v>833</v>
      </c>
      <c r="E58" t="str">
        <f>IFERROR(INDEX(Sheet3!$A$2:$A$30,MATCH(TRUE,ISNUMBER(SEARCH(Sheet3!$A$2:$A$30,D58)),0)),"")</f>
        <v/>
      </c>
    </row>
    <row r="59" spans="2:5" x14ac:dyDescent="0.3">
      <c r="B59" s="87" t="s">
        <v>223</v>
      </c>
      <c r="C59" s="88" t="s">
        <v>810</v>
      </c>
      <c r="D59" s="90" t="s">
        <v>3</v>
      </c>
      <c r="E59" t="str">
        <f>IFERROR(INDEX(Sheet3!$A$2:$A$30,MATCH(TRUE,ISNUMBER(SEARCH(Sheet3!$A$2:$A$30,D59)),0)),"")</f>
        <v/>
      </c>
    </row>
    <row r="60" spans="2:5" x14ac:dyDescent="0.3">
      <c r="B60" s="87" t="s">
        <v>224</v>
      </c>
      <c r="C60" s="88" t="s">
        <v>810</v>
      </c>
      <c r="D60" s="90" t="s">
        <v>832</v>
      </c>
      <c r="E60" t="str">
        <f>IFERROR(INDEX(Sheet3!$A$2:$A$30,MATCH(TRUE,ISNUMBER(SEARCH(Sheet3!$A$2:$A$30,D60)),0)),"")</f>
        <v/>
      </c>
    </row>
    <row r="61" spans="2:5" x14ac:dyDescent="0.3">
      <c r="B61" s="87" t="s">
        <v>225</v>
      </c>
      <c r="C61" s="88" t="s">
        <v>810</v>
      </c>
      <c r="D61" s="90" t="s">
        <v>98</v>
      </c>
      <c r="E61" t="str">
        <f>IFERROR(INDEX(Sheet3!$A$2:$A$30,MATCH(TRUE,ISNUMBER(SEARCH(Sheet3!$A$2:$A$30,D61)),0)),"")</f>
        <v/>
      </c>
    </row>
    <row r="62" spans="2:5" x14ac:dyDescent="0.3">
      <c r="B62" s="87" t="s">
        <v>226</v>
      </c>
      <c r="C62" s="88" t="s">
        <v>810</v>
      </c>
      <c r="D62" s="90" t="s">
        <v>3</v>
      </c>
      <c r="E62" t="str">
        <f>IFERROR(INDEX(Sheet3!$A$2:$A$30,MATCH(TRUE,ISNUMBER(SEARCH(Sheet3!$A$2:$A$30,D62)),0)),"")</f>
        <v/>
      </c>
    </row>
    <row r="63" spans="2:5" x14ac:dyDescent="0.3">
      <c r="B63" s="87" t="s">
        <v>227</v>
      </c>
      <c r="C63" s="88" t="s">
        <v>810</v>
      </c>
      <c r="D63" s="90" t="s">
        <v>3</v>
      </c>
      <c r="E63" t="str">
        <f>IFERROR(INDEX(Sheet3!$A$2:$A$30,MATCH(TRUE,ISNUMBER(SEARCH(Sheet3!$A$2:$A$30,D63)),0)),"")</f>
        <v/>
      </c>
    </row>
    <row r="64" spans="2:5" x14ac:dyDescent="0.3">
      <c r="B64" s="87" t="s">
        <v>228</v>
      </c>
      <c r="C64" s="88" t="s">
        <v>810</v>
      </c>
      <c r="D64" s="90" t="s">
        <v>832</v>
      </c>
      <c r="E64" t="str">
        <f>IFERROR(INDEX(Sheet3!$A$2:$A$30,MATCH(TRUE,ISNUMBER(SEARCH(Sheet3!$A$2:$A$30,D64)),0)),"")</f>
        <v/>
      </c>
    </row>
    <row r="65" spans="2:5" x14ac:dyDescent="0.3">
      <c r="B65" s="87" t="s">
        <v>229</v>
      </c>
      <c r="C65" s="88" t="s">
        <v>810</v>
      </c>
      <c r="D65" s="90" t="s">
        <v>3</v>
      </c>
      <c r="E65" t="str">
        <f>IFERROR(INDEX(Sheet3!$A$2:$A$30,MATCH(TRUE,ISNUMBER(SEARCH(Sheet3!$A$2:$A$30,D65)),0)),"")</f>
        <v/>
      </c>
    </row>
    <row r="66" spans="2:5" x14ac:dyDescent="0.3">
      <c r="B66" s="87" t="s">
        <v>230</v>
      </c>
      <c r="C66" s="88" t="s">
        <v>810</v>
      </c>
      <c r="D66" s="90" t="s">
        <v>98</v>
      </c>
      <c r="E66" t="str">
        <f>IFERROR(INDEX(Sheet3!$A$2:$A$30,MATCH(TRUE,ISNUMBER(SEARCH(Sheet3!$A$2:$A$30,D66)),0)),"")</f>
        <v/>
      </c>
    </row>
    <row r="67" spans="2:5" x14ac:dyDescent="0.3">
      <c r="B67" s="87" t="s">
        <v>231</v>
      </c>
      <c r="C67" s="88" t="s">
        <v>810</v>
      </c>
      <c r="D67" s="90" t="s">
        <v>3</v>
      </c>
      <c r="E67" t="str">
        <f>IFERROR(INDEX(Sheet3!$A$2:$A$30,MATCH(TRUE,ISNUMBER(SEARCH(Sheet3!$A$2:$A$30,D67)),0)),"")</f>
        <v/>
      </c>
    </row>
    <row r="68" spans="2:5" x14ac:dyDescent="0.3">
      <c r="B68" s="87" t="s">
        <v>232</v>
      </c>
      <c r="C68" s="88" t="s">
        <v>810</v>
      </c>
      <c r="D68" s="90" t="s">
        <v>98</v>
      </c>
      <c r="E68" t="str">
        <f>IFERROR(INDEX(Sheet3!$A$2:$A$30,MATCH(TRUE,ISNUMBER(SEARCH(Sheet3!$A$2:$A$30,D68)),0)),"")</f>
        <v/>
      </c>
    </row>
    <row r="69" spans="2:5" x14ac:dyDescent="0.3">
      <c r="B69" s="87" t="s">
        <v>233</v>
      </c>
      <c r="C69" s="88" t="s">
        <v>810</v>
      </c>
      <c r="D69" s="90" t="s">
        <v>834</v>
      </c>
      <c r="E69" t="str">
        <f>IFERROR(INDEX(Sheet3!$A$2:$A$30,MATCH(TRUE,ISNUMBER(SEARCH(Sheet3!$A$2:$A$30,D69)),0)),"")</f>
        <v/>
      </c>
    </row>
    <row r="70" spans="2:5" x14ac:dyDescent="0.3">
      <c r="B70" s="87" t="s">
        <v>234</v>
      </c>
      <c r="C70" s="88" t="s">
        <v>810</v>
      </c>
      <c r="D70" s="90" t="s">
        <v>833</v>
      </c>
      <c r="E70" t="str">
        <f>IFERROR(INDEX(Sheet3!$A$2:$A$30,MATCH(TRUE,ISNUMBER(SEARCH(Sheet3!$A$2:$A$30,D70)),0)),"")</f>
        <v/>
      </c>
    </row>
    <row r="71" spans="2:5" x14ac:dyDescent="0.3">
      <c r="B71" s="87" t="s">
        <v>235</v>
      </c>
      <c r="C71" s="88" t="s">
        <v>810</v>
      </c>
      <c r="D71" s="90" t="s">
        <v>833</v>
      </c>
      <c r="E71" t="str">
        <f>IFERROR(INDEX(Sheet3!$A$2:$A$30,MATCH(TRUE,ISNUMBER(SEARCH(Sheet3!$A$2:$A$30,D71)),0)),"")</f>
        <v/>
      </c>
    </row>
    <row r="72" spans="2:5" x14ac:dyDescent="0.3">
      <c r="B72" s="87" t="s">
        <v>236</v>
      </c>
      <c r="C72" s="88" t="s">
        <v>810</v>
      </c>
      <c r="D72" s="90" t="s">
        <v>3</v>
      </c>
      <c r="E72" t="str">
        <f>IFERROR(INDEX(Sheet3!$A$2:$A$30,MATCH(TRUE,ISNUMBER(SEARCH(Sheet3!$A$2:$A$30,D72)),0)),"")</f>
        <v/>
      </c>
    </row>
    <row r="73" spans="2:5" x14ac:dyDescent="0.3">
      <c r="B73" s="87" t="s">
        <v>237</v>
      </c>
      <c r="C73" s="88" t="s">
        <v>810</v>
      </c>
      <c r="D73" s="90" t="s">
        <v>832</v>
      </c>
      <c r="E73" t="str">
        <f>IFERROR(INDEX(Sheet3!$A$2:$A$30,MATCH(TRUE,ISNUMBER(SEARCH(Sheet3!$A$2:$A$30,D73)),0)),"")</f>
        <v/>
      </c>
    </row>
    <row r="74" spans="2:5" x14ac:dyDescent="0.3">
      <c r="B74" s="87" t="s">
        <v>238</v>
      </c>
      <c r="C74" s="88" t="s">
        <v>810</v>
      </c>
      <c r="D74" s="90" t="s">
        <v>98</v>
      </c>
      <c r="E74" t="str">
        <f>IFERROR(INDEX(Sheet3!$A$2:$A$30,MATCH(TRUE,ISNUMBER(SEARCH(Sheet3!$A$2:$A$30,D74)),0)),"")</f>
        <v/>
      </c>
    </row>
    <row r="75" spans="2:5" x14ac:dyDescent="0.3">
      <c r="B75" s="87" t="s">
        <v>239</v>
      </c>
      <c r="C75" s="88" t="s">
        <v>810</v>
      </c>
      <c r="D75" s="90" t="s">
        <v>3</v>
      </c>
      <c r="E75" t="str">
        <f>IFERROR(INDEX(Sheet3!$A$2:$A$30,MATCH(TRUE,ISNUMBER(SEARCH(Sheet3!$A$2:$A$30,D75)),0)),"")</f>
        <v/>
      </c>
    </row>
    <row r="76" spans="2:5" x14ac:dyDescent="0.3">
      <c r="B76" s="87" t="s">
        <v>240</v>
      </c>
      <c r="C76" s="88" t="s">
        <v>810</v>
      </c>
      <c r="D76" s="90" t="s">
        <v>3</v>
      </c>
      <c r="E76" t="str">
        <f>IFERROR(INDEX(Sheet3!$A$2:$A$30,MATCH(TRUE,ISNUMBER(SEARCH(Sheet3!$A$2:$A$30,D76)),0)),"")</f>
        <v/>
      </c>
    </row>
    <row r="77" spans="2:5" x14ac:dyDescent="0.3">
      <c r="B77" s="87" t="s">
        <v>241</v>
      </c>
      <c r="C77" s="88" t="s">
        <v>810</v>
      </c>
      <c r="D77" s="90" t="s">
        <v>832</v>
      </c>
      <c r="E77" t="str">
        <f>IFERROR(INDEX(Sheet3!$A$2:$A$30,MATCH(TRUE,ISNUMBER(SEARCH(Sheet3!$A$2:$A$30,D77)),0)),"")</f>
        <v/>
      </c>
    </row>
    <row r="78" spans="2:5" x14ac:dyDescent="0.3">
      <c r="B78" s="87" t="s">
        <v>242</v>
      </c>
      <c r="C78" s="88" t="s">
        <v>810</v>
      </c>
      <c r="D78" s="90" t="s">
        <v>832</v>
      </c>
      <c r="E78" t="str">
        <f>IFERROR(INDEX(Sheet3!$A$2:$A$30,MATCH(TRUE,ISNUMBER(SEARCH(Sheet3!$A$2:$A$30,D78)),0)),"")</f>
        <v/>
      </c>
    </row>
    <row r="79" spans="2:5" x14ac:dyDescent="0.3">
      <c r="B79" s="87" t="s">
        <v>243</v>
      </c>
      <c r="C79" s="88" t="s">
        <v>810</v>
      </c>
      <c r="D79" s="90" t="s">
        <v>832</v>
      </c>
      <c r="E79" t="str">
        <f>IFERROR(INDEX(Sheet3!$A$2:$A$30,MATCH(TRUE,ISNUMBER(SEARCH(Sheet3!$A$2:$A$30,D79)),0)),"")</f>
        <v/>
      </c>
    </row>
    <row r="80" spans="2:5" x14ac:dyDescent="0.3">
      <c r="B80" s="87" t="s">
        <v>244</v>
      </c>
      <c r="C80" s="88" t="s">
        <v>810</v>
      </c>
      <c r="D80" s="90" t="s">
        <v>832</v>
      </c>
      <c r="E80" t="str">
        <f>IFERROR(INDEX(Sheet3!$A$2:$A$30,MATCH(TRUE,ISNUMBER(SEARCH(Sheet3!$A$2:$A$30,D80)),0)),"")</f>
        <v/>
      </c>
    </row>
    <row r="81" spans="2:5" x14ac:dyDescent="0.3">
      <c r="B81" s="87" t="s">
        <v>245</v>
      </c>
      <c r="C81" s="88" t="s">
        <v>810</v>
      </c>
      <c r="D81" s="90" t="s">
        <v>832</v>
      </c>
      <c r="E81" t="str">
        <f>IFERROR(INDEX(Sheet3!$A$2:$A$30,MATCH(TRUE,ISNUMBER(SEARCH(Sheet3!$A$2:$A$30,D81)),0)),"")</f>
        <v/>
      </c>
    </row>
    <row r="82" spans="2:5" x14ac:dyDescent="0.3">
      <c r="B82" s="87" t="s">
        <v>246</v>
      </c>
      <c r="C82" s="88" t="s">
        <v>810</v>
      </c>
      <c r="D82" s="90" t="s">
        <v>3</v>
      </c>
      <c r="E82" t="str">
        <f>IFERROR(INDEX(Sheet3!$A$2:$A$30,MATCH(TRUE,ISNUMBER(SEARCH(Sheet3!$A$2:$A$30,D82)),0)),"")</f>
        <v/>
      </c>
    </row>
    <row r="83" spans="2:5" x14ac:dyDescent="0.3">
      <c r="B83" s="87" t="s">
        <v>247</v>
      </c>
      <c r="C83" s="88" t="s">
        <v>810</v>
      </c>
      <c r="D83" s="90" t="s">
        <v>3</v>
      </c>
      <c r="E83" t="str">
        <f>IFERROR(INDEX(Sheet3!$A$2:$A$30,MATCH(TRUE,ISNUMBER(SEARCH(Sheet3!$A$2:$A$30,D83)),0)),"")</f>
        <v/>
      </c>
    </row>
    <row r="84" spans="2:5" x14ac:dyDescent="0.3">
      <c r="B84" s="87" t="s">
        <v>248</v>
      </c>
      <c r="C84" s="88" t="s">
        <v>810</v>
      </c>
      <c r="D84" s="90" t="s">
        <v>833</v>
      </c>
      <c r="E84" t="str">
        <f>IFERROR(INDEX(Sheet3!$A$2:$A$30,MATCH(TRUE,ISNUMBER(SEARCH(Sheet3!$A$2:$A$30,D84)),0)),"")</f>
        <v/>
      </c>
    </row>
    <row r="85" spans="2:5" x14ac:dyDescent="0.3">
      <c r="B85" s="87" t="s">
        <v>249</v>
      </c>
      <c r="C85" s="88" t="s">
        <v>810</v>
      </c>
      <c r="D85" s="90" t="s">
        <v>3</v>
      </c>
      <c r="E85" t="str">
        <f>IFERROR(INDEX(Sheet3!$A$2:$A$30,MATCH(TRUE,ISNUMBER(SEARCH(Sheet3!$A$2:$A$30,D85)),0)),"")</f>
        <v/>
      </c>
    </row>
    <row r="86" spans="2:5" x14ac:dyDescent="0.3">
      <c r="B86" s="87" t="s">
        <v>250</v>
      </c>
      <c r="C86" s="88" t="s">
        <v>810</v>
      </c>
      <c r="D86" s="90" t="s">
        <v>98</v>
      </c>
      <c r="E86" t="str">
        <f>IFERROR(INDEX(Sheet3!$A$2:$A$30,MATCH(TRUE,ISNUMBER(SEARCH(Sheet3!$A$2:$A$30,D86)),0)),"")</f>
        <v/>
      </c>
    </row>
    <row r="87" spans="2:5" x14ac:dyDescent="0.3">
      <c r="B87" s="87" t="s">
        <v>251</v>
      </c>
      <c r="C87" s="88" t="s">
        <v>810</v>
      </c>
      <c r="D87" s="90" t="s">
        <v>3</v>
      </c>
      <c r="E87" t="str">
        <f>IFERROR(INDEX(Sheet3!$A$2:$A$30,MATCH(TRUE,ISNUMBER(SEARCH(Sheet3!$A$2:$A$30,D87)),0)),"")</f>
        <v/>
      </c>
    </row>
    <row r="88" spans="2:5" x14ac:dyDescent="0.3">
      <c r="B88" s="87" t="s">
        <v>252</v>
      </c>
      <c r="C88" s="88" t="s">
        <v>811</v>
      </c>
      <c r="D88" s="90" t="s">
        <v>832</v>
      </c>
      <c r="E88" t="str">
        <f>IFERROR(INDEX(Sheet3!$A$2:$A$30,MATCH(TRUE,ISNUMBER(SEARCH(Sheet3!$A$2:$A$30,D88)),0)),"")</f>
        <v/>
      </c>
    </row>
    <row r="89" spans="2:5" x14ac:dyDescent="0.3">
      <c r="B89" s="87" t="s">
        <v>253</v>
      </c>
      <c r="C89" s="88" t="s">
        <v>811</v>
      </c>
      <c r="D89" s="90" t="s">
        <v>98</v>
      </c>
      <c r="E89" t="str">
        <f>IFERROR(INDEX(Sheet3!$A$2:$A$30,MATCH(TRUE,ISNUMBER(SEARCH(Sheet3!$A$2:$A$30,D89)),0)),"")</f>
        <v/>
      </c>
    </row>
    <row r="90" spans="2:5" x14ac:dyDescent="0.3">
      <c r="B90" s="87" t="s">
        <v>254</v>
      </c>
      <c r="C90" s="88" t="s">
        <v>811</v>
      </c>
      <c r="D90" s="90" t="s">
        <v>3</v>
      </c>
      <c r="E90" t="str">
        <f>IFERROR(INDEX(Sheet3!$A$2:$A$30,MATCH(TRUE,ISNUMBER(SEARCH(Sheet3!$A$2:$A$30,D90)),0)),"")</f>
        <v/>
      </c>
    </row>
    <row r="91" spans="2:5" x14ac:dyDescent="0.3">
      <c r="B91" s="87" t="s">
        <v>255</v>
      </c>
      <c r="C91" s="88" t="s">
        <v>811</v>
      </c>
      <c r="D91" s="90" t="s">
        <v>832</v>
      </c>
      <c r="E91" t="str">
        <f>IFERROR(INDEX(Sheet3!$A$2:$A$30,MATCH(TRUE,ISNUMBER(SEARCH(Sheet3!$A$2:$A$30,D91)),0)),"")</f>
        <v/>
      </c>
    </row>
    <row r="92" spans="2:5" x14ac:dyDescent="0.3">
      <c r="B92" s="87" t="s">
        <v>256</v>
      </c>
      <c r="C92" s="88" t="s">
        <v>811</v>
      </c>
      <c r="D92" s="90" t="s">
        <v>3</v>
      </c>
      <c r="E92" t="str">
        <f>IFERROR(INDEX(Sheet3!$A$2:$A$30,MATCH(TRUE,ISNUMBER(SEARCH(Sheet3!$A$2:$A$30,D92)),0)),"")</f>
        <v/>
      </c>
    </row>
    <row r="93" spans="2:5" x14ac:dyDescent="0.3">
      <c r="B93" s="87" t="s">
        <v>257</v>
      </c>
      <c r="C93" s="88" t="s">
        <v>811</v>
      </c>
      <c r="D93" s="90" t="s">
        <v>832</v>
      </c>
      <c r="E93" t="str">
        <f>IFERROR(INDEX(Sheet3!$A$2:$A$30,MATCH(TRUE,ISNUMBER(SEARCH(Sheet3!$A$2:$A$30,D93)),0)),"")</f>
        <v/>
      </c>
    </row>
    <row r="94" spans="2:5" x14ac:dyDescent="0.3">
      <c r="B94" s="87" t="s">
        <v>258</v>
      </c>
      <c r="C94" s="88" t="s">
        <v>811</v>
      </c>
      <c r="D94" s="90" t="s">
        <v>3</v>
      </c>
      <c r="E94" t="str">
        <f>IFERROR(INDEX(Sheet3!$A$2:$A$30,MATCH(TRUE,ISNUMBER(SEARCH(Sheet3!$A$2:$A$30,D94)),0)),"")</f>
        <v/>
      </c>
    </row>
    <row r="95" spans="2:5" x14ac:dyDescent="0.3">
      <c r="B95" s="87" t="s">
        <v>259</v>
      </c>
      <c r="C95" s="88" t="s">
        <v>811</v>
      </c>
      <c r="D95" s="90" t="s">
        <v>98</v>
      </c>
      <c r="E95" t="str">
        <f>IFERROR(INDEX(Sheet3!$A$2:$A$30,MATCH(TRUE,ISNUMBER(SEARCH(Sheet3!$A$2:$A$30,D95)),0)),"")</f>
        <v/>
      </c>
    </row>
    <row r="96" spans="2:5" x14ac:dyDescent="0.3">
      <c r="B96" s="87" t="s">
        <v>260</v>
      </c>
      <c r="C96" s="88" t="s">
        <v>811</v>
      </c>
      <c r="D96" s="90" t="s">
        <v>833</v>
      </c>
      <c r="E96" t="str">
        <f>IFERROR(INDEX(Sheet3!$A$2:$A$30,MATCH(TRUE,ISNUMBER(SEARCH(Sheet3!$A$2:$A$30,D96)),0)),"")</f>
        <v/>
      </c>
    </row>
    <row r="97" spans="2:5" x14ac:dyDescent="0.3">
      <c r="B97" s="87" t="s">
        <v>261</v>
      </c>
      <c r="C97" s="88" t="s">
        <v>811</v>
      </c>
      <c r="D97" s="90" t="s">
        <v>3</v>
      </c>
      <c r="E97" t="str">
        <f>IFERROR(INDEX(Sheet3!$A$2:$A$30,MATCH(TRUE,ISNUMBER(SEARCH(Sheet3!$A$2:$A$30,D97)),0)),"")</f>
        <v/>
      </c>
    </row>
    <row r="98" spans="2:5" x14ac:dyDescent="0.3">
      <c r="B98" s="87" t="s">
        <v>262</v>
      </c>
      <c r="C98" s="88" t="s">
        <v>811</v>
      </c>
      <c r="D98" s="90" t="s">
        <v>3</v>
      </c>
      <c r="E98" t="str">
        <f>IFERROR(INDEX(Sheet3!$A$2:$A$30,MATCH(TRUE,ISNUMBER(SEARCH(Sheet3!$A$2:$A$30,D98)),0)),"")</f>
        <v/>
      </c>
    </row>
    <row r="99" spans="2:5" x14ac:dyDescent="0.3">
      <c r="B99" s="87" t="s">
        <v>263</v>
      </c>
      <c r="C99" s="88" t="s">
        <v>811</v>
      </c>
      <c r="D99" s="90" t="s">
        <v>832</v>
      </c>
      <c r="E99" t="str">
        <f>IFERROR(INDEX(Sheet3!$A$2:$A$30,MATCH(TRUE,ISNUMBER(SEARCH(Sheet3!$A$2:$A$30,D99)),0)),"")</f>
        <v/>
      </c>
    </row>
    <row r="100" spans="2:5" x14ac:dyDescent="0.3">
      <c r="B100" s="87" t="s">
        <v>264</v>
      </c>
      <c r="C100" s="88" t="s">
        <v>811</v>
      </c>
      <c r="D100" s="90" t="s">
        <v>98</v>
      </c>
      <c r="E100" t="str">
        <f>IFERROR(INDEX(Sheet3!$A$2:$A$30,MATCH(TRUE,ISNUMBER(SEARCH(Sheet3!$A$2:$A$30,D100)),0)),"")</f>
        <v/>
      </c>
    </row>
    <row r="101" spans="2:5" x14ac:dyDescent="0.3">
      <c r="B101" s="87" t="s">
        <v>265</v>
      </c>
      <c r="C101" s="88" t="s">
        <v>811</v>
      </c>
      <c r="D101" s="90" t="s">
        <v>3</v>
      </c>
      <c r="E101" t="str">
        <f>IFERROR(INDEX(Sheet3!$A$2:$A$30,MATCH(TRUE,ISNUMBER(SEARCH(Sheet3!$A$2:$A$30,D101)),0)),"")</f>
        <v/>
      </c>
    </row>
    <row r="102" spans="2:5" x14ac:dyDescent="0.3">
      <c r="B102" s="87" t="s">
        <v>266</v>
      </c>
      <c r="C102" s="88" t="s">
        <v>811</v>
      </c>
      <c r="D102" s="90" t="s">
        <v>3</v>
      </c>
      <c r="E102" t="str">
        <f>IFERROR(INDEX(Sheet3!$A$2:$A$30,MATCH(TRUE,ISNUMBER(SEARCH(Sheet3!$A$2:$A$30,D102)),0)),"")</f>
        <v/>
      </c>
    </row>
    <row r="103" spans="2:5" x14ac:dyDescent="0.3">
      <c r="B103" s="87" t="s">
        <v>267</v>
      </c>
      <c r="C103" s="88" t="s">
        <v>811</v>
      </c>
      <c r="D103" s="90" t="s">
        <v>832</v>
      </c>
      <c r="E103" t="str">
        <f>IFERROR(INDEX(Sheet3!$A$2:$A$30,MATCH(TRUE,ISNUMBER(SEARCH(Sheet3!$A$2:$A$30,D103)),0)),"")</f>
        <v/>
      </c>
    </row>
    <row r="104" spans="2:5" x14ac:dyDescent="0.3">
      <c r="B104" s="87" t="s">
        <v>268</v>
      </c>
      <c r="C104" s="88" t="s">
        <v>811</v>
      </c>
      <c r="D104" s="90" t="s">
        <v>832</v>
      </c>
      <c r="E104" t="str">
        <f>IFERROR(INDEX(Sheet3!$A$2:$A$30,MATCH(TRUE,ISNUMBER(SEARCH(Sheet3!$A$2:$A$30,D104)),0)),"")</f>
        <v/>
      </c>
    </row>
    <row r="105" spans="2:5" x14ac:dyDescent="0.3">
      <c r="B105" s="87" t="s">
        <v>269</v>
      </c>
      <c r="C105" s="88" t="s">
        <v>811</v>
      </c>
      <c r="D105" s="90" t="s">
        <v>833</v>
      </c>
      <c r="E105" t="str">
        <f>IFERROR(INDEX(Sheet3!$A$2:$A$30,MATCH(TRUE,ISNUMBER(SEARCH(Sheet3!$A$2:$A$30,D105)),0)),"")</f>
        <v/>
      </c>
    </row>
    <row r="106" spans="2:5" x14ac:dyDescent="0.3">
      <c r="B106" s="87" t="s">
        <v>270</v>
      </c>
      <c r="C106" s="88" t="s">
        <v>811</v>
      </c>
      <c r="D106" s="90" t="s">
        <v>3</v>
      </c>
      <c r="E106" t="str">
        <f>IFERROR(INDEX(Sheet3!$A$2:$A$30,MATCH(TRUE,ISNUMBER(SEARCH(Sheet3!$A$2:$A$30,D106)),0)),"")</f>
        <v/>
      </c>
    </row>
    <row r="107" spans="2:5" x14ac:dyDescent="0.3">
      <c r="B107" s="87" t="s">
        <v>271</v>
      </c>
      <c r="C107" s="88" t="s">
        <v>811</v>
      </c>
      <c r="D107" s="90" t="s">
        <v>3</v>
      </c>
      <c r="E107" t="str">
        <f>IFERROR(INDEX(Sheet3!$A$2:$A$30,MATCH(TRUE,ISNUMBER(SEARCH(Sheet3!$A$2:$A$30,D107)),0)),"")</f>
        <v/>
      </c>
    </row>
    <row r="108" spans="2:5" x14ac:dyDescent="0.3">
      <c r="B108" s="87" t="s">
        <v>272</v>
      </c>
      <c r="C108" s="88" t="s">
        <v>811</v>
      </c>
      <c r="D108" s="90" t="s">
        <v>833</v>
      </c>
      <c r="E108" t="str">
        <f>IFERROR(INDEX(Sheet3!$A$2:$A$30,MATCH(TRUE,ISNUMBER(SEARCH(Sheet3!$A$2:$A$30,D108)),0)),"")</f>
        <v/>
      </c>
    </row>
    <row r="109" spans="2:5" x14ac:dyDescent="0.3">
      <c r="B109" s="87" t="s">
        <v>273</v>
      </c>
      <c r="C109" s="88" t="s">
        <v>811</v>
      </c>
      <c r="D109" s="90" t="s">
        <v>832</v>
      </c>
      <c r="E109" t="str">
        <f>IFERROR(INDEX(Sheet3!$A$2:$A$30,MATCH(TRUE,ISNUMBER(SEARCH(Sheet3!$A$2:$A$30,D109)),0)),"")</f>
        <v/>
      </c>
    </row>
    <row r="110" spans="2:5" x14ac:dyDescent="0.3">
      <c r="B110" s="87" t="s">
        <v>274</v>
      </c>
      <c r="C110" s="88" t="s">
        <v>811</v>
      </c>
      <c r="D110" s="90" t="s">
        <v>3</v>
      </c>
      <c r="E110" t="str">
        <f>IFERROR(INDEX(Sheet3!$A$2:$A$30,MATCH(TRUE,ISNUMBER(SEARCH(Sheet3!$A$2:$A$30,D110)),0)),"")</f>
        <v/>
      </c>
    </row>
    <row r="111" spans="2:5" x14ac:dyDescent="0.3">
      <c r="B111" s="87" t="s">
        <v>275</v>
      </c>
      <c r="C111" s="88" t="s">
        <v>811</v>
      </c>
      <c r="D111" s="90" t="s">
        <v>3</v>
      </c>
      <c r="E111" t="str">
        <f>IFERROR(INDEX(Sheet3!$A$2:$A$30,MATCH(TRUE,ISNUMBER(SEARCH(Sheet3!$A$2:$A$30,D111)),0)),"")</f>
        <v/>
      </c>
    </row>
    <row r="112" spans="2:5" x14ac:dyDescent="0.3">
      <c r="B112" s="87" t="s">
        <v>276</v>
      </c>
      <c r="C112" s="88" t="s">
        <v>811</v>
      </c>
      <c r="D112" s="90" t="s">
        <v>3</v>
      </c>
      <c r="E112" t="str">
        <f>IFERROR(INDEX(Sheet3!$A$2:$A$30,MATCH(TRUE,ISNUMBER(SEARCH(Sheet3!$A$2:$A$30,D112)),0)),"")</f>
        <v/>
      </c>
    </row>
    <row r="113" spans="2:5" x14ac:dyDescent="0.3">
      <c r="B113" s="87" t="s">
        <v>277</v>
      </c>
      <c r="C113" s="88" t="s">
        <v>811</v>
      </c>
      <c r="D113" s="90" t="s">
        <v>98</v>
      </c>
      <c r="E113" t="str">
        <f>IFERROR(INDEX(Sheet3!$A$2:$A$30,MATCH(TRUE,ISNUMBER(SEARCH(Sheet3!$A$2:$A$30,D113)),0)),"")</f>
        <v/>
      </c>
    </row>
    <row r="114" spans="2:5" x14ac:dyDescent="0.3">
      <c r="B114" s="87" t="s">
        <v>278</v>
      </c>
      <c r="C114" s="88" t="s">
        <v>811</v>
      </c>
      <c r="D114" s="90" t="s">
        <v>832</v>
      </c>
      <c r="E114" t="str">
        <f>IFERROR(INDEX(Sheet3!$A$2:$A$30,MATCH(TRUE,ISNUMBER(SEARCH(Sheet3!$A$2:$A$30,D114)),0)),"")</f>
        <v/>
      </c>
    </row>
    <row r="115" spans="2:5" x14ac:dyDescent="0.3">
      <c r="B115" s="87" t="s">
        <v>279</v>
      </c>
      <c r="C115" s="88" t="s">
        <v>811</v>
      </c>
      <c r="D115" s="90" t="s">
        <v>833</v>
      </c>
      <c r="E115" t="str">
        <f>IFERROR(INDEX(Sheet3!$A$2:$A$30,MATCH(TRUE,ISNUMBER(SEARCH(Sheet3!$A$2:$A$30,D115)),0)),"")</f>
        <v/>
      </c>
    </row>
    <row r="116" spans="2:5" x14ac:dyDescent="0.3">
      <c r="B116" s="87" t="s">
        <v>280</v>
      </c>
      <c r="C116" s="88" t="s">
        <v>811</v>
      </c>
      <c r="D116" s="90" t="s">
        <v>832</v>
      </c>
      <c r="E116" t="str">
        <f>IFERROR(INDEX(Sheet3!$A$2:$A$30,MATCH(TRUE,ISNUMBER(SEARCH(Sheet3!$A$2:$A$30,D116)),0)),"")</f>
        <v/>
      </c>
    </row>
    <row r="117" spans="2:5" x14ac:dyDescent="0.3">
      <c r="B117" s="87" t="s">
        <v>281</v>
      </c>
      <c r="C117" s="88" t="s">
        <v>812</v>
      </c>
      <c r="D117" s="90" t="s">
        <v>98</v>
      </c>
      <c r="E117" t="str">
        <f>IFERROR(INDEX(Sheet3!$A$2:$A$30,MATCH(TRUE,ISNUMBER(SEARCH(Sheet3!$A$2:$A$30,D117)),0)),"")</f>
        <v/>
      </c>
    </row>
    <row r="118" spans="2:5" x14ac:dyDescent="0.3">
      <c r="B118" s="87" t="s">
        <v>282</v>
      </c>
      <c r="C118" s="88" t="s">
        <v>812</v>
      </c>
      <c r="D118" s="90" t="s">
        <v>832</v>
      </c>
      <c r="E118" t="str">
        <f>IFERROR(INDEX(Sheet3!$A$2:$A$30,MATCH(TRUE,ISNUMBER(SEARCH(Sheet3!$A$2:$A$30,D118)),0)),"")</f>
        <v/>
      </c>
    </row>
    <row r="119" spans="2:5" x14ac:dyDescent="0.3">
      <c r="B119" s="87" t="s">
        <v>283</v>
      </c>
      <c r="C119" s="88" t="s">
        <v>812</v>
      </c>
      <c r="D119" s="90" t="s">
        <v>832</v>
      </c>
      <c r="E119" t="str">
        <f>IFERROR(INDEX(Sheet3!$A$2:$A$30,MATCH(TRUE,ISNUMBER(SEARCH(Sheet3!$A$2:$A$30,D119)),0)),"")</f>
        <v/>
      </c>
    </row>
    <row r="120" spans="2:5" x14ac:dyDescent="0.3">
      <c r="B120" s="87" t="s">
        <v>284</v>
      </c>
      <c r="C120" s="88" t="s">
        <v>812</v>
      </c>
      <c r="D120" s="90" t="s">
        <v>832</v>
      </c>
      <c r="E120" t="str">
        <f>IFERROR(INDEX(Sheet3!$A$2:$A$30,MATCH(TRUE,ISNUMBER(SEARCH(Sheet3!$A$2:$A$30,D120)),0)),"")</f>
        <v/>
      </c>
    </row>
    <row r="121" spans="2:5" x14ac:dyDescent="0.3">
      <c r="B121" s="87" t="s">
        <v>285</v>
      </c>
      <c r="C121" s="88" t="s">
        <v>812</v>
      </c>
      <c r="D121" s="90" t="s">
        <v>3</v>
      </c>
      <c r="E121" t="str">
        <f>IFERROR(INDEX(Sheet3!$A$2:$A$30,MATCH(TRUE,ISNUMBER(SEARCH(Sheet3!$A$2:$A$30,D121)),0)),"")</f>
        <v/>
      </c>
    </row>
    <row r="122" spans="2:5" x14ac:dyDescent="0.3">
      <c r="B122" s="87" t="s">
        <v>286</v>
      </c>
      <c r="C122" s="88" t="s">
        <v>812</v>
      </c>
      <c r="D122" s="90" t="s">
        <v>98</v>
      </c>
      <c r="E122" t="str">
        <f>IFERROR(INDEX(Sheet3!$A$2:$A$30,MATCH(TRUE,ISNUMBER(SEARCH(Sheet3!$A$2:$A$30,D122)),0)),"")</f>
        <v/>
      </c>
    </row>
    <row r="123" spans="2:5" x14ac:dyDescent="0.3">
      <c r="B123" s="87" t="s">
        <v>287</v>
      </c>
      <c r="C123" s="88" t="s">
        <v>812</v>
      </c>
      <c r="D123" s="90" t="s">
        <v>3</v>
      </c>
      <c r="E123" t="str">
        <f>IFERROR(INDEX(Sheet3!$A$2:$A$30,MATCH(TRUE,ISNUMBER(SEARCH(Sheet3!$A$2:$A$30,D123)),0)),"")</f>
        <v/>
      </c>
    </row>
    <row r="124" spans="2:5" x14ac:dyDescent="0.3">
      <c r="B124" s="87" t="s">
        <v>288</v>
      </c>
      <c r="C124" s="88" t="s">
        <v>812</v>
      </c>
      <c r="D124" s="90" t="s">
        <v>98</v>
      </c>
      <c r="E124" t="str">
        <f>IFERROR(INDEX(Sheet3!$A$2:$A$30,MATCH(TRUE,ISNUMBER(SEARCH(Sheet3!$A$2:$A$30,D124)),0)),"")</f>
        <v/>
      </c>
    </row>
    <row r="125" spans="2:5" x14ac:dyDescent="0.3">
      <c r="B125" s="87" t="s">
        <v>289</v>
      </c>
      <c r="C125" s="88" t="s">
        <v>812</v>
      </c>
      <c r="D125" s="90" t="s">
        <v>98</v>
      </c>
      <c r="E125" t="str">
        <f>IFERROR(INDEX(Sheet3!$A$2:$A$30,MATCH(TRUE,ISNUMBER(SEARCH(Sheet3!$A$2:$A$30,D125)),0)),"")</f>
        <v/>
      </c>
    </row>
    <row r="126" spans="2:5" x14ac:dyDescent="0.3">
      <c r="B126" s="87" t="s">
        <v>290</v>
      </c>
      <c r="C126" s="88" t="s">
        <v>812</v>
      </c>
      <c r="D126" s="90" t="s">
        <v>98</v>
      </c>
      <c r="E126" t="str">
        <f>IFERROR(INDEX(Sheet3!$A$2:$A$30,MATCH(TRUE,ISNUMBER(SEARCH(Sheet3!$A$2:$A$30,D126)),0)),"")</f>
        <v/>
      </c>
    </row>
    <row r="127" spans="2:5" x14ac:dyDescent="0.3">
      <c r="B127" s="87" t="s">
        <v>291</v>
      </c>
      <c r="C127" s="88" t="s">
        <v>812</v>
      </c>
      <c r="D127" s="90" t="s">
        <v>3</v>
      </c>
      <c r="E127" t="str">
        <f>IFERROR(INDEX(Sheet3!$A$2:$A$30,MATCH(TRUE,ISNUMBER(SEARCH(Sheet3!$A$2:$A$30,D127)),0)),"")</f>
        <v/>
      </c>
    </row>
    <row r="128" spans="2:5" x14ac:dyDescent="0.3">
      <c r="B128" s="87" t="s">
        <v>292</v>
      </c>
      <c r="C128" s="88" t="s">
        <v>812</v>
      </c>
      <c r="D128" s="90" t="s">
        <v>832</v>
      </c>
      <c r="E128" t="str">
        <f>IFERROR(INDEX(Sheet3!$A$2:$A$30,MATCH(TRUE,ISNUMBER(SEARCH(Sheet3!$A$2:$A$30,D128)),0)),"")</f>
        <v/>
      </c>
    </row>
    <row r="129" spans="2:5" x14ac:dyDescent="0.3">
      <c r="B129" s="87" t="s">
        <v>293</v>
      </c>
      <c r="C129" s="88" t="s">
        <v>812</v>
      </c>
      <c r="D129" s="90" t="s">
        <v>832</v>
      </c>
      <c r="E129" t="str">
        <f>IFERROR(INDEX(Sheet3!$A$2:$A$30,MATCH(TRUE,ISNUMBER(SEARCH(Sheet3!$A$2:$A$30,D129)),0)),"")</f>
        <v/>
      </c>
    </row>
    <row r="130" spans="2:5" x14ac:dyDescent="0.3">
      <c r="B130" s="87" t="s">
        <v>294</v>
      </c>
      <c r="C130" s="88" t="s">
        <v>812</v>
      </c>
      <c r="D130" s="90" t="s">
        <v>832</v>
      </c>
      <c r="E130" t="str">
        <f>IFERROR(INDEX(Sheet3!$A$2:$A$30,MATCH(TRUE,ISNUMBER(SEARCH(Sheet3!$A$2:$A$30,D130)),0)),"")</f>
        <v/>
      </c>
    </row>
    <row r="131" spans="2:5" x14ac:dyDescent="0.3">
      <c r="B131" s="87" t="s">
        <v>295</v>
      </c>
      <c r="C131" s="88" t="s">
        <v>812</v>
      </c>
      <c r="D131" s="90" t="s">
        <v>3</v>
      </c>
      <c r="E131" t="str">
        <f>IFERROR(INDEX(Sheet3!$A$2:$A$30,MATCH(TRUE,ISNUMBER(SEARCH(Sheet3!$A$2:$A$30,D131)),0)),"")</f>
        <v/>
      </c>
    </row>
    <row r="132" spans="2:5" x14ac:dyDescent="0.3">
      <c r="B132" s="87" t="s">
        <v>296</v>
      </c>
      <c r="C132" s="88" t="s">
        <v>812</v>
      </c>
      <c r="D132" s="90" t="s">
        <v>832</v>
      </c>
      <c r="E132" t="str">
        <f>IFERROR(INDEX(Sheet3!$A$2:$A$30,MATCH(TRUE,ISNUMBER(SEARCH(Sheet3!$A$2:$A$30,D132)),0)),"")</f>
        <v/>
      </c>
    </row>
    <row r="133" spans="2:5" x14ac:dyDescent="0.3">
      <c r="B133" s="87" t="s">
        <v>297</v>
      </c>
      <c r="C133" s="88" t="s">
        <v>812</v>
      </c>
      <c r="D133" s="90" t="s">
        <v>832</v>
      </c>
      <c r="E133" t="str">
        <f>IFERROR(INDEX(Sheet3!$A$2:$A$30,MATCH(TRUE,ISNUMBER(SEARCH(Sheet3!$A$2:$A$30,D133)),0)),"")</f>
        <v/>
      </c>
    </row>
    <row r="134" spans="2:5" x14ac:dyDescent="0.3">
      <c r="B134" s="87" t="s">
        <v>298</v>
      </c>
      <c r="C134" s="88" t="s">
        <v>812</v>
      </c>
      <c r="D134" s="90" t="s">
        <v>832</v>
      </c>
      <c r="E134" t="str">
        <f>IFERROR(INDEX(Sheet3!$A$2:$A$30,MATCH(TRUE,ISNUMBER(SEARCH(Sheet3!$A$2:$A$30,D134)),0)),"")</f>
        <v/>
      </c>
    </row>
    <row r="135" spans="2:5" x14ac:dyDescent="0.3">
      <c r="B135" s="87" t="s">
        <v>299</v>
      </c>
      <c r="C135" s="88" t="s">
        <v>812</v>
      </c>
      <c r="D135" s="90" t="s">
        <v>3</v>
      </c>
      <c r="E135" t="str">
        <f>IFERROR(INDEX(Sheet3!$A$2:$A$30,MATCH(TRUE,ISNUMBER(SEARCH(Sheet3!$A$2:$A$30,D135)),0)),"")</f>
        <v/>
      </c>
    </row>
    <row r="136" spans="2:5" x14ac:dyDescent="0.3">
      <c r="B136" s="87" t="s">
        <v>300</v>
      </c>
      <c r="C136" s="88" t="s">
        <v>812</v>
      </c>
      <c r="D136" s="90" t="s">
        <v>98</v>
      </c>
      <c r="E136" t="str">
        <f>IFERROR(INDEX(Sheet3!$A$2:$A$30,MATCH(TRUE,ISNUMBER(SEARCH(Sheet3!$A$2:$A$30,D136)),0)),"")</f>
        <v/>
      </c>
    </row>
    <row r="137" spans="2:5" x14ac:dyDescent="0.3">
      <c r="B137" s="87" t="s">
        <v>301</v>
      </c>
      <c r="C137" s="88" t="s">
        <v>812</v>
      </c>
      <c r="D137" s="90" t="s">
        <v>3</v>
      </c>
      <c r="E137" t="str">
        <f>IFERROR(INDEX(Sheet3!$A$2:$A$30,MATCH(TRUE,ISNUMBER(SEARCH(Sheet3!$A$2:$A$30,D137)),0)),"")</f>
        <v/>
      </c>
    </row>
    <row r="138" spans="2:5" x14ac:dyDescent="0.3">
      <c r="B138" s="87" t="s">
        <v>302</v>
      </c>
      <c r="C138" s="88" t="s">
        <v>812</v>
      </c>
      <c r="D138" s="90" t="s">
        <v>3</v>
      </c>
      <c r="E138" t="str">
        <f>IFERROR(INDEX(Sheet3!$A$2:$A$30,MATCH(TRUE,ISNUMBER(SEARCH(Sheet3!$A$2:$A$30,D138)),0)),"")</f>
        <v/>
      </c>
    </row>
    <row r="139" spans="2:5" x14ac:dyDescent="0.3">
      <c r="B139" s="87" t="s">
        <v>303</v>
      </c>
      <c r="C139" s="88" t="s">
        <v>813</v>
      </c>
      <c r="D139" s="90" t="s">
        <v>98</v>
      </c>
      <c r="E139" t="str">
        <f>IFERROR(INDEX(Sheet3!$A$2:$A$30,MATCH(TRUE,ISNUMBER(SEARCH(Sheet3!$A$2:$A$30,D139)),0)),"")</f>
        <v/>
      </c>
    </row>
    <row r="140" spans="2:5" x14ac:dyDescent="0.3">
      <c r="B140" s="87" t="s">
        <v>304</v>
      </c>
      <c r="C140" s="88" t="s">
        <v>813</v>
      </c>
      <c r="D140" s="90" t="s">
        <v>98</v>
      </c>
      <c r="E140" t="str">
        <f>IFERROR(INDEX(Sheet3!$A$2:$A$30,MATCH(TRUE,ISNUMBER(SEARCH(Sheet3!$A$2:$A$30,D140)),0)),"")</f>
        <v/>
      </c>
    </row>
    <row r="141" spans="2:5" x14ac:dyDescent="0.3">
      <c r="B141" s="87" t="s">
        <v>305</v>
      </c>
      <c r="C141" s="88" t="s">
        <v>813</v>
      </c>
      <c r="D141" s="90" t="s">
        <v>3</v>
      </c>
      <c r="E141" t="str">
        <f>IFERROR(INDEX(Sheet3!$A$2:$A$30,MATCH(TRUE,ISNUMBER(SEARCH(Sheet3!$A$2:$A$30,D141)),0)),"")</f>
        <v/>
      </c>
    </row>
    <row r="142" spans="2:5" x14ac:dyDescent="0.3">
      <c r="B142" s="87" t="s">
        <v>306</v>
      </c>
      <c r="C142" s="88" t="s">
        <v>813</v>
      </c>
      <c r="D142" s="90" t="s">
        <v>98</v>
      </c>
      <c r="E142" t="str">
        <f>IFERROR(INDEX(Sheet3!$A$2:$A$30,MATCH(TRUE,ISNUMBER(SEARCH(Sheet3!$A$2:$A$30,D142)),0)),"")</f>
        <v/>
      </c>
    </row>
    <row r="143" spans="2:5" x14ac:dyDescent="0.3">
      <c r="B143" s="87" t="s">
        <v>307</v>
      </c>
      <c r="C143" s="88" t="s">
        <v>813</v>
      </c>
      <c r="D143" s="90" t="s">
        <v>98</v>
      </c>
      <c r="E143" t="str">
        <f>IFERROR(INDEX(Sheet3!$A$2:$A$30,MATCH(TRUE,ISNUMBER(SEARCH(Sheet3!$A$2:$A$30,D143)),0)),"")</f>
        <v/>
      </c>
    </row>
    <row r="144" spans="2:5" x14ac:dyDescent="0.3">
      <c r="B144" s="87" t="s">
        <v>308</v>
      </c>
      <c r="C144" s="88" t="s">
        <v>813</v>
      </c>
      <c r="D144" s="90" t="s">
        <v>832</v>
      </c>
      <c r="E144" t="str">
        <f>IFERROR(INDEX(Sheet3!$A$2:$A$30,MATCH(TRUE,ISNUMBER(SEARCH(Sheet3!$A$2:$A$30,D144)),0)),"")</f>
        <v/>
      </c>
    </row>
    <row r="145" spans="2:5" x14ac:dyDescent="0.3">
      <c r="B145" s="87" t="s">
        <v>309</v>
      </c>
      <c r="C145" s="88" t="s">
        <v>813</v>
      </c>
      <c r="D145" s="90" t="s">
        <v>3</v>
      </c>
      <c r="E145" t="str">
        <f>IFERROR(INDEX(Sheet3!$A$2:$A$30,MATCH(TRUE,ISNUMBER(SEARCH(Sheet3!$A$2:$A$30,D145)),0)),"")</f>
        <v/>
      </c>
    </row>
    <row r="146" spans="2:5" x14ac:dyDescent="0.3">
      <c r="B146" s="87" t="s">
        <v>310</v>
      </c>
      <c r="C146" s="88" t="s">
        <v>813</v>
      </c>
      <c r="D146" s="90" t="s">
        <v>832</v>
      </c>
      <c r="E146" t="str">
        <f>IFERROR(INDEX(Sheet3!$A$2:$A$30,MATCH(TRUE,ISNUMBER(SEARCH(Sheet3!$A$2:$A$30,D146)),0)),"")</f>
        <v/>
      </c>
    </row>
    <row r="147" spans="2:5" x14ac:dyDescent="0.3">
      <c r="B147" s="87" t="s">
        <v>311</v>
      </c>
      <c r="C147" s="88" t="s">
        <v>813</v>
      </c>
      <c r="D147" s="90" t="s">
        <v>3</v>
      </c>
      <c r="E147" t="str">
        <f>IFERROR(INDEX(Sheet3!$A$2:$A$30,MATCH(TRUE,ISNUMBER(SEARCH(Sheet3!$A$2:$A$30,D147)),0)),"")</f>
        <v/>
      </c>
    </row>
    <row r="148" spans="2:5" x14ac:dyDescent="0.3">
      <c r="B148" s="87" t="s">
        <v>312</v>
      </c>
      <c r="C148" s="88" t="s">
        <v>813</v>
      </c>
      <c r="D148" s="90" t="s">
        <v>3</v>
      </c>
      <c r="E148" t="str">
        <f>IFERROR(INDEX(Sheet3!$A$2:$A$30,MATCH(TRUE,ISNUMBER(SEARCH(Sheet3!$A$2:$A$30,D148)),0)),"")</f>
        <v/>
      </c>
    </row>
    <row r="149" spans="2:5" x14ac:dyDescent="0.3">
      <c r="B149" s="87" t="s">
        <v>313</v>
      </c>
      <c r="C149" s="88" t="s">
        <v>813</v>
      </c>
      <c r="D149" s="90" t="s">
        <v>832</v>
      </c>
      <c r="E149" t="str">
        <f>IFERROR(INDEX(Sheet3!$A$2:$A$30,MATCH(TRUE,ISNUMBER(SEARCH(Sheet3!$A$2:$A$30,D149)),0)),"")</f>
        <v/>
      </c>
    </row>
    <row r="150" spans="2:5" x14ac:dyDescent="0.3">
      <c r="B150" s="87" t="s">
        <v>314</v>
      </c>
      <c r="C150" s="88" t="s">
        <v>813</v>
      </c>
      <c r="D150" s="90" t="s">
        <v>832</v>
      </c>
      <c r="E150" t="str">
        <f>IFERROR(INDEX(Sheet3!$A$2:$A$30,MATCH(TRUE,ISNUMBER(SEARCH(Sheet3!$A$2:$A$30,D150)),0)),"")</f>
        <v/>
      </c>
    </row>
    <row r="151" spans="2:5" x14ac:dyDescent="0.3">
      <c r="B151" s="87" t="s">
        <v>315</v>
      </c>
      <c r="C151" s="88" t="s">
        <v>813</v>
      </c>
      <c r="D151" s="90" t="s">
        <v>3</v>
      </c>
      <c r="E151" t="str">
        <f>IFERROR(INDEX(Sheet3!$A$2:$A$30,MATCH(TRUE,ISNUMBER(SEARCH(Sheet3!$A$2:$A$30,D151)),0)),"")</f>
        <v/>
      </c>
    </row>
    <row r="152" spans="2:5" x14ac:dyDescent="0.3">
      <c r="B152" s="87" t="s">
        <v>316</v>
      </c>
      <c r="C152" s="88" t="s">
        <v>813</v>
      </c>
      <c r="D152" s="90" t="s">
        <v>3</v>
      </c>
      <c r="E152" t="str">
        <f>IFERROR(INDEX(Sheet3!$A$2:$A$30,MATCH(TRUE,ISNUMBER(SEARCH(Sheet3!$A$2:$A$30,D152)),0)),"")</f>
        <v/>
      </c>
    </row>
    <row r="153" spans="2:5" x14ac:dyDescent="0.3">
      <c r="B153" s="87" t="s">
        <v>317</v>
      </c>
      <c r="C153" s="88" t="s">
        <v>813</v>
      </c>
      <c r="D153" s="90" t="s">
        <v>98</v>
      </c>
      <c r="E153" t="str">
        <f>IFERROR(INDEX(Sheet3!$A$2:$A$30,MATCH(TRUE,ISNUMBER(SEARCH(Sheet3!$A$2:$A$30,D153)),0)),"")</f>
        <v/>
      </c>
    </row>
    <row r="154" spans="2:5" x14ac:dyDescent="0.3">
      <c r="B154" s="87" t="s">
        <v>318</v>
      </c>
      <c r="C154" s="88" t="s">
        <v>813</v>
      </c>
      <c r="D154" s="90" t="s">
        <v>98</v>
      </c>
      <c r="E154" t="str">
        <f>IFERROR(INDEX(Sheet3!$A$2:$A$30,MATCH(TRUE,ISNUMBER(SEARCH(Sheet3!$A$2:$A$30,D154)),0)),"")</f>
        <v/>
      </c>
    </row>
    <row r="155" spans="2:5" x14ac:dyDescent="0.3">
      <c r="B155" s="87" t="s">
        <v>319</v>
      </c>
      <c r="C155" s="88" t="s">
        <v>813</v>
      </c>
      <c r="D155" s="90" t="s">
        <v>832</v>
      </c>
      <c r="E155" t="str">
        <f>IFERROR(INDEX(Sheet3!$A$2:$A$30,MATCH(TRUE,ISNUMBER(SEARCH(Sheet3!$A$2:$A$30,D155)),0)),"")</f>
        <v/>
      </c>
    </row>
    <row r="156" spans="2:5" x14ac:dyDescent="0.3">
      <c r="B156" s="87" t="s">
        <v>320</v>
      </c>
      <c r="C156" s="88" t="s">
        <v>813</v>
      </c>
      <c r="D156" s="90" t="s">
        <v>832</v>
      </c>
      <c r="E156" t="str">
        <f>IFERROR(INDEX(Sheet3!$A$2:$A$30,MATCH(TRUE,ISNUMBER(SEARCH(Sheet3!$A$2:$A$30,D156)),0)),"")</f>
        <v/>
      </c>
    </row>
    <row r="157" spans="2:5" x14ac:dyDescent="0.3">
      <c r="B157" s="87" t="s">
        <v>321</v>
      </c>
      <c r="C157" s="88" t="s">
        <v>813</v>
      </c>
      <c r="D157" s="90" t="s">
        <v>832</v>
      </c>
      <c r="E157" t="str">
        <f>IFERROR(INDEX(Sheet3!$A$2:$A$30,MATCH(TRUE,ISNUMBER(SEARCH(Sheet3!$A$2:$A$30,D157)),0)),"")</f>
        <v/>
      </c>
    </row>
    <row r="158" spans="2:5" x14ac:dyDescent="0.3">
      <c r="B158" s="87" t="s">
        <v>322</v>
      </c>
      <c r="C158" s="88" t="s">
        <v>813</v>
      </c>
      <c r="D158" s="90" t="s">
        <v>832</v>
      </c>
      <c r="E158" t="str">
        <f>IFERROR(INDEX(Sheet3!$A$2:$A$30,MATCH(TRUE,ISNUMBER(SEARCH(Sheet3!$A$2:$A$30,D158)),0)),"")</f>
        <v/>
      </c>
    </row>
    <row r="159" spans="2:5" x14ac:dyDescent="0.3">
      <c r="B159" s="87" t="s">
        <v>323</v>
      </c>
      <c r="C159" s="88" t="s">
        <v>813</v>
      </c>
      <c r="D159" s="90" t="s">
        <v>832</v>
      </c>
      <c r="E159" t="str">
        <f>IFERROR(INDEX(Sheet3!$A$2:$A$30,MATCH(TRUE,ISNUMBER(SEARCH(Sheet3!$A$2:$A$30,D159)),0)),"")</f>
        <v/>
      </c>
    </row>
    <row r="160" spans="2:5" x14ac:dyDescent="0.3">
      <c r="B160" s="87" t="s">
        <v>324</v>
      </c>
      <c r="C160" s="88" t="s">
        <v>813</v>
      </c>
      <c r="D160" s="90" t="s">
        <v>98</v>
      </c>
      <c r="E160" t="str">
        <f>IFERROR(INDEX(Sheet3!$A$2:$A$30,MATCH(TRUE,ISNUMBER(SEARCH(Sheet3!$A$2:$A$30,D160)),0)),"")</f>
        <v/>
      </c>
    </row>
    <row r="161" spans="2:5" x14ac:dyDescent="0.3">
      <c r="B161" s="87" t="s">
        <v>325</v>
      </c>
      <c r="C161" s="88" t="s">
        <v>814</v>
      </c>
      <c r="D161" s="90" t="s">
        <v>3</v>
      </c>
      <c r="E161" t="str">
        <f>IFERROR(INDEX(Sheet3!$A$2:$A$30,MATCH(TRUE,ISNUMBER(SEARCH(Sheet3!$A$2:$A$30,D161)),0)),"")</f>
        <v/>
      </c>
    </row>
    <row r="162" spans="2:5" x14ac:dyDescent="0.3">
      <c r="B162" s="87" t="s">
        <v>326</v>
      </c>
      <c r="C162" s="88" t="s">
        <v>814</v>
      </c>
      <c r="D162" s="90" t="s">
        <v>3</v>
      </c>
      <c r="E162" t="str">
        <f>IFERROR(INDEX(Sheet3!$A$2:$A$30,MATCH(TRUE,ISNUMBER(SEARCH(Sheet3!$A$2:$A$30,D162)),0)),"")</f>
        <v/>
      </c>
    </row>
    <row r="163" spans="2:5" x14ac:dyDescent="0.3">
      <c r="B163" s="87" t="s">
        <v>327</v>
      </c>
      <c r="C163" s="88" t="s">
        <v>814</v>
      </c>
      <c r="D163" s="90" t="s">
        <v>98</v>
      </c>
      <c r="E163" t="str">
        <f>IFERROR(INDEX(Sheet3!$A$2:$A$30,MATCH(TRUE,ISNUMBER(SEARCH(Sheet3!$A$2:$A$30,D163)),0)),"")</f>
        <v/>
      </c>
    </row>
    <row r="164" spans="2:5" x14ac:dyDescent="0.3">
      <c r="B164" s="87" t="s">
        <v>328</v>
      </c>
      <c r="C164" s="88" t="s">
        <v>814</v>
      </c>
      <c r="D164" s="90" t="s">
        <v>3</v>
      </c>
      <c r="E164" t="str">
        <f>IFERROR(INDEX(Sheet3!$A$2:$A$30,MATCH(TRUE,ISNUMBER(SEARCH(Sheet3!$A$2:$A$30,D164)),0)),"")</f>
        <v/>
      </c>
    </row>
    <row r="165" spans="2:5" x14ac:dyDescent="0.3">
      <c r="B165" s="87" t="s">
        <v>329</v>
      </c>
      <c r="C165" s="88" t="s">
        <v>814</v>
      </c>
      <c r="D165" s="90" t="s">
        <v>832</v>
      </c>
      <c r="E165" t="str">
        <f>IFERROR(INDEX(Sheet3!$A$2:$A$30,MATCH(TRUE,ISNUMBER(SEARCH(Sheet3!$A$2:$A$30,D165)),0)),"")</f>
        <v/>
      </c>
    </row>
    <row r="166" spans="2:5" x14ac:dyDescent="0.3">
      <c r="B166" s="87" t="s">
        <v>330</v>
      </c>
      <c r="C166" s="88" t="s">
        <v>814</v>
      </c>
      <c r="D166" s="90" t="s">
        <v>3</v>
      </c>
      <c r="E166" t="str">
        <f>IFERROR(INDEX(Sheet3!$A$2:$A$30,MATCH(TRUE,ISNUMBER(SEARCH(Sheet3!$A$2:$A$30,D166)),0)),"")</f>
        <v/>
      </c>
    </row>
    <row r="167" spans="2:5" x14ac:dyDescent="0.3">
      <c r="B167" s="87" t="s">
        <v>331</v>
      </c>
      <c r="C167" s="88" t="s">
        <v>814</v>
      </c>
      <c r="D167" s="90" t="s">
        <v>98</v>
      </c>
      <c r="E167" t="str">
        <f>IFERROR(INDEX(Sheet3!$A$2:$A$30,MATCH(TRUE,ISNUMBER(SEARCH(Sheet3!$A$2:$A$30,D167)),0)),"")</f>
        <v/>
      </c>
    </row>
    <row r="168" spans="2:5" x14ac:dyDescent="0.3">
      <c r="B168" s="87" t="s">
        <v>332</v>
      </c>
      <c r="C168" s="88" t="s">
        <v>814</v>
      </c>
      <c r="D168" s="90" t="s">
        <v>832</v>
      </c>
      <c r="E168" t="str">
        <f>IFERROR(INDEX(Sheet3!$A$2:$A$30,MATCH(TRUE,ISNUMBER(SEARCH(Sheet3!$A$2:$A$30,D168)),0)),"")</f>
        <v/>
      </c>
    </row>
    <row r="169" spans="2:5" x14ac:dyDescent="0.3">
      <c r="B169" s="87" t="s">
        <v>333</v>
      </c>
      <c r="C169" s="88" t="s">
        <v>814</v>
      </c>
      <c r="D169" s="90" t="s">
        <v>3</v>
      </c>
      <c r="E169" t="str">
        <f>IFERROR(INDEX(Sheet3!$A$2:$A$30,MATCH(TRUE,ISNUMBER(SEARCH(Sheet3!$A$2:$A$30,D169)),0)),"")</f>
        <v/>
      </c>
    </row>
    <row r="170" spans="2:5" x14ac:dyDescent="0.3">
      <c r="B170" s="87" t="s">
        <v>334</v>
      </c>
      <c r="C170" s="88" t="s">
        <v>814</v>
      </c>
      <c r="D170" s="90" t="s">
        <v>832</v>
      </c>
      <c r="E170" t="str">
        <f>IFERROR(INDEX(Sheet3!$A$2:$A$30,MATCH(TRUE,ISNUMBER(SEARCH(Sheet3!$A$2:$A$30,D170)),0)),"")</f>
        <v/>
      </c>
    </row>
    <row r="171" spans="2:5" x14ac:dyDescent="0.3">
      <c r="B171" s="87" t="s">
        <v>335</v>
      </c>
      <c r="C171" s="88" t="s">
        <v>814</v>
      </c>
      <c r="D171" s="90" t="s">
        <v>3</v>
      </c>
      <c r="E171" t="str">
        <f>IFERROR(INDEX(Sheet3!$A$2:$A$30,MATCH(TRUE,ISNUMBER(SEARCH(Sheet3!$A$2:$A$30,D171)),0)),"")</f>
        <v/>
      </c>
    </row>
    <row r="172" spans="2:5" x14ac:dyDescent="0.3">
      <c r="B172" s="87" t="s">
        <v>336</v>
      </c>
      <c r="C172" s="88" t="s">
        <v>814</v>
      </c>
      <c r="D172" s="90" t="s">
        <v>3</v>
      </c>
      <c r="E172" t="str">
        <f>IFERROR(INDEX(Sheet3!$A$2:$A$30,MATCH(TRUE,ISNUMBER(SEARCH(Sheet3!$A$2:$A$30,D172)),0)),"")</f>
        <v/>
      </c>
    </row>
    <row r="173" spans="2:5" x14ac:dyDescent="0.3">
      <c r="B173" s="87" t="s">
        <v>337</v>
      </c>
      <c r="C173" s="88" t="s">
        <v>814</v>
      </c>
      <c r="D173" s="90" t="s">
        <v>3</v>
      </c>
      <c r="E173" t="str">
        <f>IFERROR(INDEX(Sheet3!$A$2:$A$30,MATCH(TRUE,ISNUMBER(SEARCH(Sheet3!$A$2:$A$30,D173)),0)),"")</f>
        <v/>
      </c>
    </row>
    <row r="174" spans="2:5" x14ac:dyDescent="0.3">
      <c r="B174" s="87" t="s">
        <v>338</v>
      </c>
      <c r="C174" s="88" t="s">
        <v>814</v>
      </c>
      <c r="D174" s="90" t="s">
        <v>3</v>
      </c>
      <c r="E174" t="str">
        <f>IFERROR(INDEX(Sheet3!$A$2:$A$30,MATCH(TRUE,ISNUMBER(SEARCH(Sheet3!$A$2:$A$30,D174)),0)),"")</f>
        <v/>
      </c>
    </row>
    <row r="175" spans="2:5" x14ac:dyDescent="0.3">
      <c r="B175" s="87" t="s">
        <v>339</v>
      </c>
      <c r="C175" s="88" t="s">
        <v>814</v>
      </c>
      <c r="D175" s="90" t="s">
        <v>832</v>
      </c>
      <c r="E175" t="str">
        <f>IFERROR(INDEX(Sheet3!$A$2:$A$30,MATCH(TRUE,ISNUMBER(SEARCH(Sheet3!$A$2:$A$30,D175)),0)),"")</f>
        <v/>
      </c>
    </row>
    <row r="176" spans="2:5" x14ac:dyDescent="0.3">
      <c r="B176" s="87" t="s">
        <v>340</v>
      </c>
      <c r="C176" s="88" t="s">
        <v>814</v>
      </c>
      <c r="D176" s="90" t="s">
        <v>98</v>
      </c>
      <c r="E176" t="str">
        <f>IFERROR(INDEX(Sheet3!$A$2:$A$30,MATCH(TRUE,ISNUMBER(SEARCH(Sheet3!$A$2:$A$30,D176)),0)),"")</f>
        <v/>
      </c>
    </row>
    <row r="177" spans="2:5" x14ac:dyDescent="0.3">
      <c r="B177" s="87" t="s">
        <v>341</v>
      </c>
      <c r="C177" s="88" t="s">
        <v>814</v>
      </c>
      <c r="D177" s="90" t="s">
        <v>832</v>
      </c>
      <c r="E177" t="str">
        <f>IFERROR(INDEX(Sheet3!$A$2:$A$30,MATCH(TRUE,ISNUMBER(SEARCH(Sheet3!$A$2:$A$30,D177)),0)),"")</f>
        <v/>
      </c>
    </row>
    <row r="178" spans="2:5" x14ac:dyDescent="0.3">
      <c r="B178" s="87" t="s">
        <v>342</v>
      </c>
      <c r="C178" s="88" t="s">
        <v>814</v>
      </c>
      <c r="D178" s="90" t="s">
        <v>98</v>
      </c>
      <c r="E178" t="str">
        <f>IFERROR(INDEX(Sheet3!$A$2:$A$30,MATCH(TRUE,ISNUMBER(SEARCH(Sheet3!$A$2:$A$30,D178)),0)),"")</f>
        <v/>
      </c>
    </row>
    <row r="179" spans="2:5" x14ac:dyDescent="0.3">
      <c r="B179" s="87" t="s">
        <v>343</v>
      </c>
      <c r="C179" s="88" t="s">
        <v>814</v>
      </c>
      <c r="D179" s="90" t="s">
        <v>832</v>
      </c>
      <c r="E179" t="str">
        <f>IFERROR(INDEX(Sheet3!$A$2:$A$30,MATCH(TRUE,ISNUMBER(SEARCH(Sheet3!$A$2:$A$30,D179)),0)),"")</f>
        <v/>
      </c>
    </row>
    <row r="180" spans="2:5" x14ac:dyDescent="0.3">
      <c r="B180" s="87" t="s">
        <v>344</v>
      </c>
      <c r="C180" s="88" t="s">
        <v>814</v>
      </c>
      <c r="D180" s="90" t="s">
        <v>832</v>
      </c>
      <c r="E180" t="str">
        <f>IFERROR(INDEX(Sheet3!$A$2:$A$30,MATCH(TRUE,ISNUMBER(SEARCH(Sheet3!$A$2:$A$30,D180)),0)),"")</f>
        <v/>
      </c>
    </row>
    <row r="181" spans="2:5" x14ac:dyDescent="0.3">
      <c r="B181" s="87" t="s">
        <v>345</v>
      </c>
      <c r="C181" s="88" t="s">
        <v>814</v>
      </c>
      <c r="D181" s="90" t="s">
        <v>98</v>
      </c>
      <c r="E181" t="str">
        <f>IFERROR(INDEX(Sheet3!$A$2:$A$30,MATCH(TRUE,ISNUMBER(SEARCH(Sheet3!$A$2:$A$30,D181)),0)),"")</f>
        <v/>
      </c>
    </row>
    <row r="182" spans="2:5" x14ac:dyDescent="0.3">
      <c r="B182" s="87" t="s">
        <v>346</v>
      </c>
      <c r="C182" s="88" t="s">
        <v>814</v>
      </c>
      <c r="D182" s="90" t="s">
        <v>3</v>
      </c>
      <c r="E182" t="str">
        <f>IFERROR(INDEX(Sheet3!$A$2:$A$30,MATCH(TRUE,ISNUMBER(SEARCH(Sheet3!$A$2:$A$30,D182)),0)),"")</f>
        <v/>
      </c>
    </row>
    <row r="183" spans="2:5" x14ac:dyDescent="0.3">
      <c r="B183" s="87" t="s">
        <v>347</v>
      </c>
      <c r="C183" s="88" t="s">
        <v>814</v>
      </c>
      <c r="D183" s="90" t="s">
        <v>3</v>
      </c>
      <c r="E183" t="str">
        <f>IFERROR(INDEX(Sheet3!$A$2:$A$30,MATCH(TRUE,ISNUMBER(SEARCH(Sheet3!$A$2:$A$30,D183)),0)),"")</f>
        <v/>
      </c>
    </row>
    <row r="184" spans="2:5" x14ac:dyDescent="0.3">
      <c r="B184" s="87" t="s">
        <v>348</v>
      </c>
      <c r="C184" s="88" t="s">
        <v>814</v>
      </c>
      <c r="D184" s="90" t="s">
        <v>3</v>
      </c>
      <c r="E184" t="str">
        <f>IFERROR(INDEX(Sheet3!$A$2:$A$30,MATCH(TRUE,ISNUMBER(SEARCH(Sheet3!$A$2:$A$30,D184)),0)),"")</f>
        <v/>
      </c>
    </row>
    <row r="185" spans="2:5" x14ac:dyDescent="0.3">
      <c r="B185" s="87" t="s">
        <v>349</v>
      </c>
      <c r="C185" s="88" t="s">
        <v>815</v>
      </c>
      <c r="D185" s="90" t="s">
        <v>3</v>
      </c>
      <c r="E185" t="str">
        <f>IFERROR(INDEX(Sheet3!$A$2:$A$30,MATCH(TRUE,ISNUMBER(SEARCH(Sheet3!$A$2:$A$30,D185)),0)),"")</f>
        <v/>
      </c>
    </row>
    <row r="186" spans="2:5" x14ac:dyDescent="0.3">
      <c r="B186" s="87" t="s">
        <v>350</v>
      </c>
      <c r="C186" s="88" t="s">
        <v>815</v>
      </c>
      <c r="D186" s="90" t="s">
        <v>832</v>
      </c>
      <c r="E186" t="str">
        <f>IFERROR(INDEX(Sheet3!$A$2:$A$30,MATCH(TRUE,ISNUMBER(SEARCH(Sheet3!$A$2:$A$30,D186)),0)),"")</f>
        <v/>
      </c>
    </row>
    <row r="187" spans="2:5" x14ac:dyDescent="0.3">
      <c r="B187" s="87" t="s">
        <v>351</v>
      </c>
      <c r="C187" s="88" t="s">
        <v>815</v>
      </c>
      <c r="D187" s="90" t="s">
        <v>3</v>
      </c>
      <c r="E187" t="str">
        <f>IFERROR(INDEX(Sheet3!$A$2:$A$30,MATCH(TRUE,ISNUMBER(SEARCH(Sheet3!$A$2:$A$30,D187)),0)),"")</f>
        <v/>
      </c>
    </row>
    <row r="188" spans="2:5" x14ac:dyDescent="0.3">
      <c r="B188" s="87" t="s">
        <v>352</v>
      </c>
      <c r="C188" s="88" t="s">
        <v>815</v>
      </c>
      <c r="D188" s="90" t="s">
        <v>98</v>
      </c>
      <c r="E188" t="str">
        <f>IFERROR(INDEX(Sheet3!$A$2:$A$30,MATCH(TRUE,ISNUMBER(SEARCH(Sheet3!$A$2:$A$30,D188)),0)),"")</f>
        <v/>
      </c>
    </row>
    <row r="189" spans="2:5" x14ac:dyDescent="0.3">
      <c r="B189" s="87" t="s">
        <v>353</v>
      </c>
      <c r="C189" s="88" t="s">
        <v>815</v>
      </c>
      <c r="D189" s="90" t="s">
        <v>98</v>
      </c>
      <c r="E189" t="str">
        <f>IFERROR(INDEX(Sheet3!$A$2:$A$30,MATCH(TRUE,ISNUMBER(SEARCH(Sheet3!$A$2:$A$30,D189)),0)),"")</f>
        <v/>
      </c>
    </row>
    <row r="190" spans="2:5" x14ac:dyDescent="0.3">
      <c r="B190" s="87" t="s">
        <v>354</v>
      </c>
      <c r="C190" s="88" t="s">
        <v>815</v>
      </c>
      <c r="D190" s="90" t="s">
        <v>3</v>
      </c>
      <c r="E190" t="str">
        <f>IFERROR(INDEX(Sheet3!$A$2:$A$30,MATCH(TRUE,ISNUMBER(SEARCH(Sheet3!$A$2:$A$30,D190)),0)),"")</f>
        <v/>
      </c>
    </row>
    <row r="191" spans="2:5" x14ac:dyDescent="0.3">
      <c r="B191" s="87" t="s">
        <v>355</v>
      </c>
      <c r="C191" s="88" t="s">
        <v>815</v>
      </c>
      <c r="D191" s="90" t="s">
        <v>3</v>
      </c>
      <c r="E191" t="str">
        <f>IFERROR(INDEX(Sheet3!$A$2:$A$30,MATCH(TRUE,ISNUMBER(SEARCH(Sheet3!$A$2:$A$30,D191)),0)),"")</f>
        <v/>
      </c>
    </row>
    <row r="192" spans="2:5" x14ac:dyDescent="0.3">
      <c r="B192" s="87" t="s">
        <v>356</v>
      </c>
      <c r="C192" s="88" t="s">
        <v>815</v>
      </c>
      <c r="D192" s="90" t="s">
        <v>832</v>
      </c>
      <c r="E192" t="str">
        <f>IFERROR(INDEX(Sheet3!$A$2:$A$30,MATCH(TRUE,ISNUMBER(SEARCH(Sheet3!$A$2:$A$30,D192)),0)),"")</f>
        <v/>
      </c>
    </row>
    <row r="193" spans="2:5" x14ac:dyDescent="0.3">
      <c r="B193" s="87" t="s">
        <v>357</v>
      </c>
      <c r="C193" s="88" t="s">
        <v>815</v>
      </c>
      <c r="D193" s="90" t="s">
        <v>3</v>
      </c>
      <c r="E193" t="str">
        <f>IFERROR(INDEX(Sheet3!$A$2:$A$30,MATCH(TRUE,ISNUMBER(SEARCH(Sheet3!$A$2:$A$30,D193)),0)),"")</f>
        <v/>
      </c>
    </row>
    <row r="194" spans="2:5" x14ac:dyDescent="0.3">
      <c r="B194" s="87" t="s">
        <v>358</v>
      </c>
      <c r="C194" s="88" t="s">
        <v>815</v>
      </c>
      <c r="D194" s="90" t="s">
        <v>3</v>
      </c>
      <c r="E194" t="str">
        <f>IFERROR(INDEX(Sheet3!$A$2:$A$30,MATCH(TRUE,ISNUMBER(SEARCH(Sheet3!$A$2:$A$30,D194)),0)),"")</f>
        <v/>
      </c>
    </row>
    <row r="195" spans="2:5" x14ac:dyDescent="0.3">
      <c r="B195" s="87" t="s">
        <v>359</v>
      </c>
      <c r="C195" s="88" t="s">
        <v>815</v>
      </c>
      <c r="D195" s="90" t="s">
        <v>98</v>
      </c>
      <c r="E195" t="str">
        <f>IFERROR(INDEX(Sheet3!$A$2:$A$30,MATCH(TRUE,ISNUMBER(SEARCH(Sheet3!$A$2:$A$30,D195)),0)),"")</f>
        <v/>
      </c>
    </row>
    <row r="196" spans="2:5" x14ac:dyDescent="0.3">
      <c r="B196" s="87" t="s">
        <v>360</v>
      </c>
      <c r="C196" s="88" t="s">
        <v>815</v>
      </c>
      <c r="D196" s="90" t="s">
        <v>98</v>
      </c>
      <c r="E196" t="str">
        <f>IFERROR(INDEX(Sheet3!$A$2:$A$30,MATCH(TRUE,ISNUMBER(SEARCH(Sheet3!$A$2:$A$30,D196)),0)),"")</f>
        <v/>
      </c>
    </row>
    <row r="197" spans="2:5" x14ac:dyDescent="0.3">
      <c r="B197" s="87" t="s">
        <v>361</v>
      </c>
      <c r="C197" s="88" t="s">
        <v>815</v>
      </c>
      <c r="D197" s="90" t="s">
        <v>3</v>
      </c>
      <c r="E197" t="str">
        <f>IFERROR(INDEX(Sheet3!$A$2:$A$30,MATCH(TRUE,ISNUMBER(SEARCH(Sheet3!$A$2:$A$30,D197)),0)),"")</f>
        <v/>
      </c>
    </row>
    <row r="198" spans="2:5" x14ac:dyDescent="0.3">
      <c r="B198" s="87" t="s">
        <v>362</v>
      </c>
      <c r="C198" s="88" t="s">
        <v>815</v>
      </c>
      <c r="D198" s="90" t="s">
        <v>3</v>
      </c>
      <c r="E198" t="str">
        <f>IFERROR(INDEX(Sheet3!$A$2:$A$30,MATCH(TRUE,ISNUMBER(SEARCH(Sheet3!$A$2:$A$30,D198)),0)),"")</f>
        <v/>
      </c>
    </row>
    <row r="199" spans="2:5" x14ac:dyDescent="0.3">
      <c r="B199" s="87" t="s">
        <v>363</v>
      </c>
      <c r="C199" s="88" t="s">
        <v>815</v>
      </c>
      <c r="D199" s="90" t="s">
        <v>98</v>
      </c>
      <c r="E199" t="str">
        <f>IFERROR(INDEX(Sheet3!$A$2:$A$30,MATCH(TRUE,ISNUMBER(SEARCH(Sheet3!$A$2:$A$30,D199)),0)),"")</f>
        <v/>
      </c>
    </row>
    <row r="200" spans="2:5" x14ac:dyDescent="0.3">
      <c r="B200" s="87" t="s">
        <v>364</v>
      </c>
      <c r="C200" s="88" t="s">
        <v>815</v>
      </c>
      <c r="D200" s="90" t="s">
        <v>832</v>
      </c>
      <c r="E200" t="str">
        <f>IFERROR(INDEX(Sheet3!$A$2:$A$30,MATCH(TRUE,ISNUMBER(SEARCH(Sheet3!$A$2:$A$30,D200)),0)),"")</f>
        <v/>
      </c>
    </row>
    <row r="201" spans="2:5" x14ac:dyDescent="0.3">
      <c r="B201" s="87" t="s">
        <v>365</v>
      </c>
      <c r="C201" s="88" t="s">
        <v>815</v>
      </c>
      <c r="D201" s="90" t="s">
        <v>3</v>
      </c>
      <c r="E201" t="str">
        <f>IFERROR(INDEX(Sheet3!$A$2:$A$30,MATCH(TRUE,ISNUMBER(SEARCH(Sheet3!$A$2:$A$30,D201)),0)),"")</f>
        <v/>
      </c>
    </row>
    <row r="202" spans="2:5" x14ac:dyDescent="0.3">
      <c r="B202" s="87" t="s">
        <v>366</v>
      </c>
      <c r="C202" s="88" t="s">
        <v>815</v>
      </c>
      <c r="D202" s="90" t="s">
        <v>832</v>
      </c>
      <c r="E202" t="str">
        <f>IFERROR(INDEX(Sheet3!$A$2:$A$30,MATCH(TRUE,ISNUMBER(SEARCH(Sheet3!$A$2:$A$30,D202)),0)),"")</f>
        <v/>
      </c>
    </row>
    <row r="203" spans="2:5" x14ac:dyDescent="0.3">
      <c r="B203" s="87" t="s">
        <v>367</v>
      </c>
      <c r="C203" s="88" t="s">
        <v>815</v>
      </c>
      <c r="D203" s="90" t="s">
        <v>3</v>
      </c>
      <c r="E203" t="str">
        <f>IFERROR(INDEX(Sheet3!$A$2:$A$30,MATCH(TRUE,ISNUMBER(SEARCH(Sheet3!$A$2:$A$30,D203)),0)),"")</f>
        <v/>
      </c>
    </row>
    <row r="204" spans="2:5" x14ac:dyDescent="0.3">
      <c r="B204" s="87" t="s">
        <v>368</v>
      </c>
      <c r="C204" s="88" t="s">
        <v>815</v>
      </c>
      <c r="D204" s="90" t="s">
        <v>832</v>
      </c>
      <c r="E204" t="str">
        <f>IFERROR(INDEX(Sheet3!$A$2:$A$30,MATCH(TRUE,ISNUMBER(SEARCH(Sheet3!$A$2:$A$30,D204)),0)),"")</f>
        <v/>
      </c>
    </row>
    <row r="205" spans="2:5" x14ac:dyDescent="0.3">
      <c r="B205" s="87" t="s">
        <v>369</v>
      </c>
      <c r="C205" s="88" t="s">
        <v>815</v>
      </c>
      <c r="D205" s="90" t="s">
        <v>3</v>
      </c>
      <c r="E205" t="str">
        <f>IFERROR(INDEX(Sheet3!$A$2:$A$30,MATCH(TRUE,ISNUMBER(SEARCH(Sheet3!$A$2:$A$30,D205)),0)),"")</f>
        <v/>
      </c>
    </row>
    <row r="206" spans="2:5" x14ac:dyDescent="0.3">
      <c r="B206" s="87" t="s">
        <v>370</v>
      </c>
      <c r="C206" s="88" t="s">
        <v>815</v>
      </c>
      <c r="D206" s="90" t="s">
        <v>832</v>
      </c>
      <c r="E206" t="str">
        <f>IFERROR(INDEX(Sheet3!$A$2:$A$30,MATCH(TRUE,ISNUMBER(SEARCH(Sheet3!$A$2:$A$30,D206)),0)),"")</f>
        <v/>
      </c>
    </row>
    <row r="207" spans="2:5" x14ac:dyDescent="0.3">
      <c r="B207" s="87" t="s">
        <v>371</v>
      </c>
      <c r="C207" s="88" t="s">
        <v>815</v>
      </c>
      <c r="D207" s="90" t="s">
        <v>98</v>
      </c>
      <c r="E207" t="str">
        <f>IFERROR(INDEX(Sheet3!$A$2:$A$30,MATCH(TRUE,ISNUMBER(SEARCH(Sheet3!$A$2:$A$30,D207)),0)),"")</f>
        <v/>
      </c>
    </row>
    <row r="208" spans="2:5" x14ac:dyDescent="0.3">
      <c r="B208" s="87" t="s">
        <v>372</v>
      </c>
      <c r="C208" s="88" t="s">
        <v>815</v>
      </c>
      <c r="D208" s="90" t="s">
        <v>98</v>
      </c>
      <c r="E208" t="str">
        <f>IFERROR(INDEX(Sheet3!$A$2:$A$30,MATCH(TRUE,ISNUMBER(SEARCH(Sheet3!$A$2:$A$30,D208)),0)),"")</f>
        <v/>
      </c>
    </row>
    <row r="209" spans="2:5" x14ac:dyDescent="0.3">
      <c r="B209" s="87" t="s">
        <v>373</v>
      </c>
      <c r="C209" s="88" t="s">
        <v>816</v>
      </c>
      <c r="D209" s="90" t="s">
        <v>110</v>
      </c>
      <c r="E209" t="str">
        <f>IFERROR(INDEX(Sheet3!$A$2:$A$30,MATCH(TRUE,ISNUMBER(SEARCH(Sheet3!$A$2:$A$30,D209)),0)),"")</f>
        <v/>
      </c>
    </row>
    <row r="210" spans="2:5" x14ac:dyDescent="0.3">
      <c r="B210" s="87" t="s">
        <v>374</v>
      </c>
      <c r="C210" s="88" t="s">
        <v>816</v>
      </c>
      <c r="D210" s="90" t="s">
        <v>835</v>
      </c>
      <c r="E210" t="str">
        <f>IFERROR(INDEX(Sheet3!$A$2:$A$30,MATCH(TRUE,ISNUMBER(SEARCH(Sheet3!$A$2:$A$30,D210)),0)),"")</f>
        <v/>
      </c>
    </row>
    <row r="211" spans="2:5" x14ac:dyDescent="0.3">
      <c r="B211" s="87" t="s">
        <v>375</v>
      </c>
      <c r="C211" s="88" t="s">
        <v>816</v>
      </c>
      <c r="D211" s="90" t="s">
        <v>98</v>
      </c>
      <c r="E211" t="str">
        <f>IFERROR(INDEX(Sheet3!$A$2:$A$30,MATCH(TRUE,ISNUMBER(SEARCH(Sheet3!$A$2:$A$30,D211)),0)),"")</f>
        <v/>
      </c>
    </row>
    <row r="212" spans="2:5" x14ac:dyDescent="0.3">
      <c r="B212" s="87" t="s">
        <v>376</v>
      </c>
      <c r="C212" s="88" t="s">
        <v>816</v>
      </c>
      <c r="D212" s="90" t="s">
        <v>72</v>
      </c>
      <c r="E212" t="str">
        <f>IFERROR(INDEX(Sheet3!$A$2:$A$30,MATCH(TRUE,ISNUMBER(SEARCH(Sheet3!$A$2:$A$30,D212)),0)),"")</f>
        <v/>
      </c>
    </row>
    <row r="213" spans="2:5" x14ac:dyDescent="0.3">
      <c r="B213" s="87" t="s">
        <v>377</v>
      </c>
      <c r="C213" s="88" t="s">
        <v>816</v>
      </c>
      <c r="D213" s="90" t="s">
        <v>82</v>
      </c>
      <c r="E213" t="str">
        <f>IFERROR(INDEX(Sheet3!$A$2:$A$30,MATCH(TRUE,ISNUMBER(SEARCH(Sheet3!$A$2:$A$30,D213)),0)),"")</f>
        <v/>
      </c>
    </row>
    <row r="214" spans="2:5" x14ac:dyDescent="0.3">
      <c r="B214" s="87" t="s">
        <v>378</v>
      </c>
      <c r="C214" s="88" t="s">
        <v>816</v>
      </c>
      <c r="D214" s="90" t="s">
        <v>37</v>
      </c>
      <c r="E214" t="str">
        <f>IFERROR(INDEX(Sheet3!$A$2:$A$30,MATCH(TRUE,ISNUMBER(SEARCH(Sheet3!$A$2:$A$30,D214)),0)),"")</f>
        <v/>
      </c>
    </row>
    <row r="215" spans="2:5" x14ac:dyDescent="0.3">
      <c r="B215" s="87" t="s">
        <v>379</v>
      </c>
      <c r="C215" s="88" t="s">
        <v>816</v>
      </c>
      <c r="D215" s="90" t="s">
        <v>98</v>
      </c>
      <c r="E215" t="str">
        <f>IFERROR(INDEX(Sheet3!$A$2:$A$30,MATCH(TRUE,ISNUMBER(SEARCH(Sheet3!$A$2:$A$30,D215)),0)),"")</f>
        <v/>
      </c>
    </row>
    <row r="216" spans="2:5" x14ac:dyDescent="0.3">
      <c r="B216" s="87" t="s">
        <v>380</v>
      </c>
      <c r="C216" s="88" t="s">
        <v>816</v>
      </c>
      <c r="D216" s="90" t="s">
        <v>99</v>
      </c>
      <c r="E216" t="str">
        <f>IFERROR(INDEX(Sheet3!$A$2:$A$30,MATCH(TRUE,ISNUMBER(SEARCH(Sheet3!$A$2:$A$30,D216)),0)),"")</f>
        <v/>
      </c>
    </row>
    <row r="217" spans="2:5" x14ac:dyDescent="0.3">
      <c r="B217" s="87" t="s">
        <v>381</v>
      </c>
      <c r="C217" s="88" t="s">
        <v>816</v>
      </c>
      <c r="D217" s="90" t="s">
        <v>836</v>
      </c>
      <c r="E217" t="str">
        <f>IFERROR(INDEX(Sheet3!$A$2:$A$30,MATCH(TRUE,ISNUMBER(SEARCH(Sheet3!$A$2:$A$30,D217)),0)),"")</f>
        <v/>
      </c>
    </row>
    <row r="218" spans="2:5" x14ac:dyDescent="0.3">
      <c r="B218" s="87" t="s">
        <v>382</v>
      </c>
      <c r="C218" s="88" t="s">
        <v>816</v>
      </c>
      <c r="D218" s="90" t="s">
        <v>832</v>
      </c>
      <c r="E218" t="str">
        <f>IFERROR(INDEX(Sheet3!$A$2:$A$30,MATCH(TRUE,ISNUMBER(SEARCH(Sheet3!$A$2:$A$30,D218)),0)),"")</f>
        <v/>
      </c>
    </row>
    <row r="219" spans="2:5" x14ac:dyDescent="0.3">
      <c r="B219" s="87" t="s">
        <v>383</v>
      </c>
      <c r="C219" s="88" t="s">
        <v>816</v>
      </c>
      <c r="D219" s="90" t="s">
        <v>72</v>
      </c>
      <c r="E219" t="str">
        <f>IFERROR(INDEX(Sheet3!$A$2:$A$30,MATCH(TRUE,ISNUMBER(SEARCH(Sheet3!$A$2:$A$30,D219)),0)),"")</f>
        <v/>
      </c>
    </row>
    <row r="220" spans="2:5" x14ac:dyDescent="0.3">
      <c r="B220" s="87" t="s">
        <v>384</v>
      </c>
      <c r="C220" s="88" t="s">
        <v>816</v>
      </c>
      <c r="D220" s="90" t="s">
        <v>837</v>
      </c>
      <c r="E220" t="str">
        <f>IFERROR(INDEX(Sheet3!$A$2:$A$30,MATCH(TRUE,ISNUMBER(SEARCH(Sheet3!$A$2:$A$30,D220)),0)),"")</f>
        <v/>
      </c>
    </row>
    <row r="221" spans="2:5" x14ac:dyDescent="0.3">
      <c r="B221" s="87" t="s">
        <v>385</v>
      </c>
      <c r="C221" s="88" t="s">
        <v>816</v>
      </c>
      <c r="D221" s="90" t="s">
        <v>3</v>
      </c>
      <c r="E221" t="str">
        <f>IFERROR(INDEX(Sheet3!$A$2:$A$30,MATCH(TRUE,ISNUMBER(SEARCH(Sheet3!$A$2:$A$30,D221)),0)),"")</f>
        <v/>
      </c>
    </row>
    <row r="222" spans="2:5" x14ac:dyDescent="0.3">
      <c r="B222" s="87" t="s">
        <v>386</v>
      </c>
      <c r="C222" s="88" t="s">
        <v>816</v>
      </c>
      <c r="D222" s="90" t="s">
        <v>836</v>
      </c>
      <c r="E222" t="str">
        <f>IFERROR(INDEX(Sheet3!$A$2:$A$30,MATCH(TRUE,ISNUMBER(SEARCH(Sheet3!$A$2:$A$30,D222)),0)),"")</f>
        <v/>
      </c>
    </row>
    <row r="223" spans="2:5" x14ac:dyDescent="0.3">
      <c r="B223" s="87" t="s">
        <v>387</v>
      </c>
      <c r="C223" s="88" t="s">
        <v>816</v>
      </c>
      <c r="D223" s="90" t="s">
        <v>835</v>
      </c>
      <c r="E223" t="str">
        <f>IFERROR(INDEX(Sheet3!$A$2:$A$30,MATCH(TRUE,ISNUMBER(SEARCH(Sheet3!$A$2:$A$30,D223)),0)),"")</f>
        <v/>
      </c>
    </row>
    <row r="224" spans="2:5" x14ac:dyDescent="0.3">
      <c r="B224" s="87" t="s">
        <v>388</v>
      </c>
      <c r="C224" s="88" t="s">
        <v>816</v>
      </c>
      <c r="D224" s="90" t="s">
        <v>80</v>
      </c>
      <c r="E224" t="str">
        <f>IFERROR(INDEX(Sheet3!$A$2:$A$30,MATCH(TRUE,ISNUMBER(SEARCH(Sheet3!$A$2:$A$30,D224)),0)),"")</f>
        <v/>
      </c>
    </row>
    <row r="225" spans="2:5" x14ac:dyDescent="0.3">
      <c r="B225" s="87" t="s">
        <v>389</v>
      </c>
      <c r="C225" s="88" t="s">
        <v>816</v>
      </c>
      <c r="D225" s="90" t="s">
        <v>110</v>
      </c>
      <c r="E225" t="str">
        <f>IFERROR(INDEX(Sheet3!$A$2:$A$30,MATCH(TRUE,ISNUMBER(SEARCH(Sheet3!$A$2:$A$30,D225)),0)),"")</f>
        <v/>
      </c>
    </row>
    <row r="226" spans="2:5" x14ac:dyDescent="0.3">
      <c r="B226" s="87" t="s">
        <v>390</v>
      </c>
      <c r="C226" s="88" t="s">
        <v>816</v>
      </c>
      <c r="D226" s="90" t="s">
        <v>835</v>
      </c>
      <c r="E226" t="str">
        <f>IFERROR(INDEX(Sheet3!$A$2:$A$30,MATCH(TRUE,ISNUMBER(SEARCH(Sheet3!$A$2:$A$30,D226)),0)),"")</f>
        <v/>
      </c>
    </row>
    <row r="227" spans="2:5" x14ac:dyDescent="0.3">
      <c r="B227" s="87" t="s">
        <v>391</v>
      </c>
      <c r="C227" s="88" t="s">
        <v>816</v>
      </c>
      <c r="D227" s="90" t="s">
        <v>101</v>
      </c>
      <c r="E227" t="str">
        <f>IFERROR(INDEX(Sheet3!$A$2:$A$30,MATCH(TRUE,ISNUMBER(SEARCH(Sheet3!$A$2:$A$30,D227)),0)),"")</f>
        <v/>
      </c>
    </row>
    <row r="228" spans="2:5" x14ac:dyDescent="0.3">
      <c r="B228" s="87" t="s">
        <v>392</v>
      </c>
      <c r="C228" s="88" t="s">
        <v>816</v>
      </c>
      <c r="D228" s="90" t="s">
        <v>72</v>
      </c>
      <c r="E228" t="str">
        <f>IFERROR(INDEX(Sheet3!$A$2:$A$30,MATCH(TRUE,ISNUMBER(SEARCH(Sheet3!$A$2:$A$30,D228)),0)),"")</f>
        <v/>
      </c>
    </row>
    <row r="229" spans="2:5" x14ac:dyDescent="0.3">
      <c r="B229" s="87" t="s">
        <v>393</v>
      </c>
      <c r="C229" s="88" t="s">
        <v>816</v>
      </c>
      <c r="D229" s="90" t="s">
        <v>72</v>
      </c>
      <c r="E229" t="str">
        <f>IFERROR(INDEX(Sheet3!$A$2:$A$30,MATCH(TRUE,ISNUMBER(SEARCH(Sheet3!$A$2:$A$30,D229)),0)),"")</f>
        <v/>
      </c>
    </row>
    <row r="230" spans="2:5" x14ac:dyDescent="0.3">
      <c r="B230" s="87" t="s">
        <v>394</v>
      </c>
      <c r="C230" s="88" t="s">
        <v>816</v>
      </c>
      <c r="D230" s="90" t="s">
        <v>838</v>
      </c>
      <c r="E230" t="str">
        <f>IFERROR(INDEX(Sheet3!$A$2:$A$30,MATCH(TRUE,ISNUMBER(SEARCH(Sheet3!$A$2:$A$30,D230)),0)),"")</f>
        <v/>
      </c>
    </row>
    <row r="231" spans="2:5" x14ac:dyDescent="0.3">
      <c r="B231" s="87" t="s">
        <v>395</v>
      </c>
      <c r="C231" s="88" t="s">
        <v>816</v>
      </c>
      <c r="D231" s="90" t="s">
        <v>110</v>
      </c>
      <c r="E231" t="str">
        <f>IFERROR(INDEX(Sheet3!$A$2:$A$30,MATCH(TRUE,ISNUMBER(SEARCH(Sheet3!$A$2:$A$30,D231)),0)),"")</f>
        <v/>
      </c>
    </row>
    <row r="232" spans="2:5" x14ac:dyDescent="0.3">
      <c r="B232" s="87" t="s">
        <v>396</v>
      </c>
      <c r="C232" s="88" t="s">
        <v>816</v>
      </c>
      <c r="D232" s="90" t="s">
        <v>837</v>
      </c>
      <c r="E232" t="str">
        <f>IFERROR(INDEX(Sheet3!$A$2:$A$30,MATCH(TRUE,ISNUMBER(SEARCH(Sheet3!$A$2:$A$30,D232)),0)),"")</f>
        <v/>
      </c>
    </row>
    <row r="233" spans="2:5" x14ac:dyDescent="0.3">
      <c r="B233" s="87" t="s">
        <v>397</v>
      </c>
      <c r="C233" s="88" t="s">
        <v>816</v>
      </c>
      <c r="D233" s="90" t="s">
        <v>37</v>
      </c>
      <c r="E233" t="str">
        <f>IFERROR(INDEX(Sheet3!$A$2:$A$30,MATCH(TRUE,ISNUMBER(SEARCH(Sheet3!$A$2:$A$30,D233)),0)),"")</f>
        <v/>
      </c>
    </row>
    <row r="234" spans="2:5" x14ac:dyDescent="0.3">
      <c r="B234" s="87" t="s">
        <v>398</v>
      </c>
      <c r="C234" s="88" t="s">
        <v>816</v>
      </c>
      <c r="D234" s="90" t="s">
        <v>40</v>
      </c>
      <c r="E234" t="str">
        <f>IFERROR(INDEX(Sheet3!$A$2:$A$30,MATCH(TRUE,ISNUMBER(SEARCH(Sheet3!$A$2:$A$30,D234)),0)),"")</f>
        <v/>
      </c>
    </row>
    <row r="235" spans="2:5" x14ac:dyDescent="0.3">
      <c r="B235" s="87" t="s">
        <v>399</v>
      </c>
      <c r="C235" s="88" t="s">
        <v>816</v>
      </c>
      <c r="D235" s="90" t="s">
        <v>837</v>
      </c>
      <c r="E235" t="str">
        <f>IFERROR(INDEX(Sheet3!$A$2:$A$30,MATCH(TRUE,ISNUMBER(SEARCH(Sheet3!$A$2:$A$30,D235)),0)),"")</f>
        <v/>
      </c>
    </row>
    <row r="236" spans="2:5" x14ac:dyDescent="0.3">
      <c r="B236" s="87" t="s">
        <v>400</v>
      </c>
      <c r="C236" s="88" t="s">
        <v>816</v>
      </c>
      <c r="D236" s="90" t="s">
        <v>69</v>
      </c>
      <c r="E236" t="str">
        <f>IFERROR(INDEX(Sheet3!$A$2:$A$30,MATCH(TRUE,ISNUMBER(SEARCH(Sheet3!$A$2:$A$30,D236)),0)),"")</f>
        <v/>
      </c>
    </row>
    <row r="237" spans="2:5" x14ac:dyDescent="0.3">
      <c r="B237" s="87" t="s">
        <v>401</v>
      </c>
      <c r="C237" s="88" t="s">
        <v>816</v>
      </c>
      <c r="D237" s="90" t="s">
        <v>37</v>
      </c>
      <c r="E237" t="str">
        <f>IFERROR(INDEX(Sheet3!$A$2:$A$30,MATCH(TRUE,ISNUMBER(SEARCH(Sheet3!$A$2:$A$30,D237)),0)),"")</f>
        <v/>
      </c>
    </row>
    <row r="238" spans="2:5" x14ac:dyDescent="0.3">
      <c r="B238" s="87" t="s">
        <v>402</v>
      </c>
      <c r="C238" s="88" t="s">
        <v>816</v>
      </c>
      <c r="D238" s="90" t="s">
        <v>69</v>
      </c>
      <c r="E238" t="str">
        <f>IFERROR(INDEX(Sheet3!$A$2:$A$30,MATCH(TRUE,ISNUMBER(SEARCH(Sheet3!$A$2:$A$30,D238)),0)),"")</f>
        <v/>
      </c>
    </row>
    <row r="239" spans="2:5" x14ac:dyDescent="0.3">
      <c r="B239" s="87" t="s">
        <v>403</v>
      </c>
      <c r="C239" s="88" t="s">
        <v>817</v>
      </c>
      <c r="D239" s="90" t="s">
        <v>97</v>
      </c>
      <c r="E239" t="str">
        <f>IFERROR(INDEX(Sheet3!$A$2:$A$30,MATCH(TRUE,ISNUMBER(SEARCH(Sheet3!$A$2:$A$30,D239)),0)),"")</f>
        <v/>
      </c>
    </row>
    <row r="240" spans="2:5" x14ac:dyDescent="0.3">
      <c r="B240" s="87" t="s">
        <v>404</v>
      </c>
      <c r="C240" s="88" t="s">
        <v>817</v>
      </c>
      <c r="D240" s="90" t="s">
        <v>82</v>
      </c>
      <c r="E240" t="str">
        <f>IFERROR(INDEX(Sheet3!$A$2:$A$30,MATCH(TRUE,ISNUMBER(SEARCH(Sheet3!$A$2:$A$30,D240)),0)),"")</f>
        <v/>
      </c>
    </row>
    <row r="241" spans="2:5" x14ac:dyDescent="0.3">
      <c r="B241" s="87" t="s">
        <v>405</v>
      </c>
      <c r="C241" s="88" t="s">
        <v>817</v>
      </c>
      <c r="D241" s="90" t="s">
        <v>835</v>
      </c>
      <c r="E241" t="str">
        <f>IFERROR(INDEX(Sheet3!$A$2:$A$30,MATCH(TRUE,ISNUMBER(SEARCH(Sheet3!$A$2:$A$30,D241)),0)),"")</f>
        <v/>
      </c>
    </row>
    <row r="242" spans="2:5" x14ac:dyDescent="0.3">
      <c r="B242" s="87" t="s">
        <v>406</v>
      </c>
      <c r="C242" s="88" t="s">
        <v>817</v>
      </c>
      <c r="D242" s="90" t="s">
        <v>837</v>
      </c>
      <c r="E242" t="str">
        <f>IFERROR(INDEX(Sheet3!$A$2:$A$30,MATCH(TRUE,ISNUMBER(SEARCH(Sheet3!$A$2:$A$30,D242)),0)),"")</f>
        <v/>
      </c>
    </row>
    <row r="243" spans="2:5" x14ac:dyDescent="0.3">
      <c r="B243" s="87" t="s">
        <v>407</v>
      </c>
      <c r="C243" s="88" t="s">
        <v>817</v>
      </c>
      <c r="D243" s="90" t="s">
        <v>837</v>
      </c>
      <c r="E243" t="str">
        <f>IFERROR(INDEX(Sheet3!$A$2:$A$30,MATCH(TRUE,ISNUMBER(SEARCH(Sheet3!$A$2:$A$30,D243)),0)),"")</f>
        <v/>
      </c>
    </row>
    <row r="244" spans="2:5" x14ac:dyDescent="0.3">
      <c r="B244" s="87" t="s">
        <v>408</v>
      </c>
      <c r="C244" s="88" t="s">
        <v>817</v>
      </c>
      <c r="D244" s="90" t="s">
        <v>96</v>
      </c>
      <c r="E244" t="str">
        <f>IFERROR(INDEX(Sheet3!$A$2:$A$30,MATCH(TRUE,ISNUMBER(SEARCH(Sheet3!$A$2:$A$30,D244)),0)),"")</f>
        <v/>
      </c>
    </row>
    <row r="245" spans="2:5" x14ac:dyDescent="0.3">
      <c r="B245" s="87" t="s">
        <v>409</v>
      </c>
      <c r="C245" s="88" t="s">
        <v>817</v>
      </c>
      <c r="D245" s="90" t="s">
        <v>835</v>
      </c>
      <c r="E245" t="str">
        <f>IFERROR(INDEX(Sheet3!$A$2:$A$30,MATCH(TRUE,ISNUMBER(SEARCH(Sheet3!$A$2:$A$30,D245)),0)),"")</f>
        <v/>
      </c>
    </row>
    <row r="246" spans="2:5" x14ac:dyDescent="0.3">
      <c r="B246" s="87" t="s">
        <v>410</v>
      </c>
      <c r="C246" s="88" t="s">
        <v>817</v>
      </c>
      <c r="D246" s="90" t="s">
        <v>97</v>
      </c>
      <c r="E246" t="str">
        <f>IFERROR(INDEX(Sheet3!$A$2:$A$30,MATCH(TRUE,ISNUMBER(SEARCH(Sheet3!$A$2:$A$30,D246)),0)),"")</f>
        <v/>
      </c>
    </row>
    <row r="247" spans="2:5" x14ac:dyDescent="0.3">
      <c r="B247" s="87" t="s">
        <v>411</v>
      </c>
      <c r="C247" s="88" t="s">
        <v>817</v>
      </c>
      <c r="D247" s="90" t="s">
        <v>97</v>
      </c>
      <c r="E247" t="str">
        <f>IFERROR(INDEX(Sheet3!$A$2:$A$30,MATCH(TRUE,ISNUMBER(SEARCH(Sheet3!$A$2:$A$30,D247)),0)),"")</f>
        <v/>
      </c>
    </row>
    <row r="248" spans="2:5" x14ac:dyDescent="0.3">
      <c r="B248" s="87" t="s">
        <v>412</v>
      </c>
      <c r="C248" s="88" t="s">
        <v>817</v>
      </c>
      <c r="D248" s="90" t="s">
        <v>835</v>
      </c>
      <c r="E248" t="str">
        <f>IFERROR(INDEX(Sheet3!$A$2:$A$30,MATCH(TRUE,ISNUMBER(SEARCH(Sheet3!$A$2:$A$30,D248)),0)),"")</f>
        <v/>
      </c>
    </row>
    <row r="249" spans="2:5" x14ac:dyDescent="0.3">
      <c r="B249" s="87" t="s">
        <v>413</v>
      </c>
      <c r="C249" s="88" t="s">
        <v>817</v>
      </c>
      <c r="D249" s="90" t="s">
        <v>97</v>
      </c>
      <c r="E249" t="str">
        <f>IFERROR(INDEX(Sheet3!$A$2:$A$30,MATCH(TRUE,ISNUMBER(SEARCH(Sheet3!$A$2:$A$30,D249)),0)),"")</f>
        <v/>
      </c>
    </row>
    <row r="250" spans="2:5" x14ac:dyDescent="0.3">
      <c r="B250" s="87" t="s">
        <v>414</v>
      </c>
      <c r="C250" s="88" t="s">
        <v>817</v>
      </c>
      <c r="D250" s="90" t="s">
        <v>839</v>
      </c>
      <c r="E250" t="str">
        <f>IFERROR(INDEX(Sheet3!$A$2:$A$30,MATCH(TRUE,ISNUMBER(SEARCH(Sheet3!$A$2:$A$30,D250)),0)),"")</f>
        <v/>
      </c>
    </row>
    <row r="251" spans="2:5" x14ac:dyDescent="0.3">
      <c r="B251" s="87" t="s">
        <v>415</v>
      </c>
      <c r="C251" s="88" t="s">
        <v>817</v>
      </c>
      <c r="D251" s="90" t="s">
        <v>82</v>
      </c>
      <c r="E251" t="str">
        <f>IFERROR(INDEX(Sheet3!$A$2:$A$30,MATCH(TRUE,ISNUMBER(SEARCH(Sheet3!$A$2:$A$30,D251)),0)),"")</f>
        <v/>
      </c>
    </row>
    <row r="252" spans="2:5" x14ac:dyDescent="0.3">
      <c r="B252" s="87" t="s">
        <v>416</v>
      </c>
      <c r="C252" s="88" t="s">
        <v>817</v>
      </c>
      <c r="D252" s="90" t="s">
        <v>96</v>
      </c>
      <c r="E252" t="str">
        <f>IFERROR(INDEX(Sheet3!$A$2:$A$30,MATCH(TRUE,ISNUMBER(SEARCH(Sheet3!$A$2:$A$30,D252)),0)),"")</f>
        <v/>
      </c>
    </row>
    <row r="253" spans="2:5" x14ac:dyDescent="0.3">
      <c r="B253" s="87" t="s">
        <v>417</v>
      </c>
      <c r="C253" s="88" t="s">
        <v>817</v>
      </c>
      <c r="D253" s="90" t="s">
        <v>835</v>
      </c>
      <c r="E253" t="str">
        <f>IFERROR(INDEX(Sheet3!$A$2:$A$30,MATCH(TRUE,ISNUMBER(SEARCH(Sheet3!$A$2:$A$30,D253)),0)),"")</f>
        <v/>
      </c>
    </row>
    <row r="254" spans="2:5" x14ac:dyDescent="0.3">
      <c r="B254" s="87" t="s">
        <v>418</v>
      </c>
      <c r="C254" s="88" t="s">
        <v>817</v>
      </c>
      <c r="D254" s="90" t="s">
        <v>99</v>
      </c>
      <c r="E254" t="str">
        <f>IFERROR(INDEX(Sheet3!$A$2:$A$30,MATCH(TRUE,ISNUMBER(SEARCH(Sheet3!$A$2:$A$30,D254)),0)),"")</f>
        <v/>
      </c>
    </row>
    <row r="255" spans="2:5" x14ac:dyDescent="0.3">
      <c r="B255" s="87" t="s">
        <v>419</v>
      </c>
      <c r="C255" s="88" t="s">
        <v>817</v>
      </c>
      <c r="D255" s="90" t="s">
        <v>97</v>
      </c>
      <c r="E255" t="str">
        <f>IFERROR(INDEX(Sheet3!$A$2:$A$30,MATCH(TRUE,ISNUMBER(SEARCH(Sheet3!$A$2:$A$30,D255)),0)),"")</f>
        <v/>
      </c>
    </row>
    <row r="256" spans="2:5" x14ac:dyDescent="0.3">
      <c r="B256" s="87" t="s">
        <v>420</v>
      </c>
      <c r="C256" s="88" t="s">
        <v>817</v>
      </c>
      <c r="D256" s="90" t="s">
        <v>97</v>
      </c>
      <c r="E256" t="str">
        <f>IFERROR(INDEX(Sheet3!$A$2:$A$30,MATCH(TRUE,ISNUMBER(SEARCH(Sheet3!$A$2:$A$30,D256)),0)),"")</f>
        <v/>
      </c>
    </row>
    <row r="257" spans="2:5" x14ac:dyDescent="0.3">
      <c r="B257" s="87" t="s">
        <v>421</v>
      </c>
      <c r="C257" s="88" t="s">
        <v>817</v>
      </c>
      <c r="D257" s="90" t="s">
        <v>37</v>
      </c>
      <c r="E257" t="str">
        <f>IFERROR(INDEX(Sheet3!$A$2:$A$30,MATCH(TRUE,ISNUMBER(SEARCH(Sheet3!$A$2:$A$30,D257)),0)),"")</f>
        <v/>
      </c>
    </row>
    <row r="258" spans="2:5" x14ac:dyDescent="0.3">
      <c r="B258" s="87" t="s">
        <v>422</v>
      </c>
      <c r="C258" s="88" t="s">
        <v>817</v>
      </c>
      <c r="D258" s="90" t="s">
        <v>838</v>
      </c>
      <c r="E258" t="str">
        <f>IFERROR(INDEX(Sheet3!$A$2:$A$30,MATCH(TRUE,ISNUMBER(SEARCH(Sheet3!$A$2:$A$30,D258)),0)),"")</f>
        <v/>
      </c>
    </row>
    <row r="259" spans="2:5" x14ac:dyDescent="0.3">
      <c r="B259" s="87" t="s">
        <v>423</v>
      </c>
      <c r="C259" s="88" t="s">
        <v>817</v>
      </c>
      <c r="D259" s="90" t="s">
        <v>110</v>
      </c>
      <c r="E259" t="str">
        <f>IFERROR(INDEX(Sheet3!$A$2:$A$30,MATCH(TRUE,ISNUMBER(SEARCH(Sheet3!$A$2:$A$30,D259)),0)),"")</f>
        <v/>
      </c>
    </row>
    <row r="260" spans="2:5" x14ac:dyDescent="0.3">
      <c r="B260" s="87" t="s">
        <v>424</v>
      </c>
      <c r="C260" s="88" t="s">
        <v>817</v>
      </c>
      <c r="D260" s="90" t="s">
        <v>101</v>
      </c>
      <c r="E260" t="str">
        <f>IFERROR(INDEX(Sheet3!$A$2:$A$30,MATCH(TRUE,ISNUMBER(SEARCH(Sheet3!$A$2:$A$30,D260)),0)),"")</f>
        <v/>
      </c>
    </row>
    <row r="261" spans="2:5" x14ac:dyDescent="0.3">
      <c r="B261" s="87" t="s">
        <v>425</v>
      </c>
      <c r="C261" s="88" t="s">
        <v>817</v>
      </c>
      <c r="D261" s="90" t="s">
        <v>839</v>
      </c>
      <c r="E261" t="str">
        <f>IFERROR(INDEX(Sheet3!$A$2:$A$30,MATCH(TRUE,ISNUMBER(SEARCH(Sheet3!$A$2:$A$30,D261)),0)),"")</f>
        <v/>
      </c>
    </row>
    <row r="262" spans="2:5" x14ac:dyDescent="0.3">
      <c r="B262" s="87" t="s">
        <v>426</v>
      </c>
      <c r="C262" s="88" t="s">
        <v>817</v>
      </c>
      <c r="D262" s="90" t="s">
        <v>835</v>
      </c>
      <c r="E262" t="str">
        <f>IFERROR(INDEX(Sheet3!$A$2:$A$30,MATCH(TRUE,ISNUMBER(SEARCH(Sheet3!$A$2:$A$30,D262)),0)),"")</f>
        <v/>
      </c>
    </row>
    <row r="263" spans="2:5" x14ac:dyDescent="0.3">
      <c r="B263" s="87" t="s">
        <v>427</v>
      </c>
      <c r="C263" s="88" t="s">
        <v>817</v>
      </c>
      <c r="D263" s="90" t="s">
        <v>835</v>
      </c>
      <c r="E263" t="str">
        <f>IFERROR(INDEX(Sheet3!$A$2:$A$30,MATCH(TRUE,ISNUMBER(SEARCH(Sheet3!$A$2:$A$30,D263)),0)),"")</f>
        <v/>
      </c>
    </row>
    <row r="264" spans="2:5" x14ac:dyDescent="0.3">
      <c r="B264" s="87" t="s">
        <v>428</v>
      </c>
      <c r="C264" s="88" t="s">
        <v>817</v>
      </c>
      <c r="D264" s="90" t="s">
        <v>837</v>
      </c>
      <c r="E264" t="str">
        <f>IFERROR(INDEX(Sheet3!$A$2:$A$30,MATCH(TRUE,ISNUMBER(SEARCH(Sheet3!$A$2:$A$30,D264)),0)),"")</f>
        <v/>
      </c>
    </row>
    <row r="265" spans="2:5" x14ac:dyDescent="0.3">
      <c r="B265" s="87" t="s">
        <v>429</v>
      </c>
      <c r="C265" s="88" t="s">
        <v>817</v>
      </c>
      <c r="D265" s="90" t="s">
        <v>96</v>
      </c>
      <c r="E265" t="str">
        <f>IFERROR(INDEX(Sheet3!$A$2:$A$30,MATCH(TRUE,ISNUMBER(SEARCH(Sheet3!$A$2:$A$30,D265)),0)),"")</f>
        <v/>
      </c>
    </row>
    <row r="266" spans="2:5" x14ac:dyDescent="0.3">
      <c r="B266" s="87" t="s">
        <v>430</v>
      </c>
      <c r="C266" s="88" t="s">
        <v>817</v>
      </c>
      <c r="D266" s="90" t="s">
        <v>37</v>
      </c>
      <c r="E266" t="str">
        <f>IFERROR(INDEX(Sheet3!$A$2:$A$30,MATCH(TRUE,ISNUMBER(SEARCH(Sheet3!$A$2:$A$30,D266)),0)),"")</f>
        <v/>
      </c>
    </row>
    <row r="267" spans="2:5" x14ac:dyDescent="0.3">
      <c r="B267" s="87" t="s">
        <v>431</v>
      </c>
      <c r="C267" s="88" t="s">
        <v>817</v>
      </c>
      <c r="D267" s="90" t="s">
        <v>98</v>
      </c>
      <c r="E267" t="str">
        <f>IFERROR(INDEX(Sheet3!$A$2:$A$30,MATCH(TRUE,ISNUMBER(SEARCH(Sheet3!$A$2:$A$30,D267)),0)),"")</f>
        <v/>
      </c>
    </row>
    <row r="268" spans="2:5" x14ac:dyDescent="0.3">
      <c r="B268" s="87" t="s">
        <v>432</v>
      </c>
      <c r="C268" s="88" t="s">
        <v>818</v>
      </c>
      <c r="D268" s="90" t="s">
        <v>101</v>
      </c>
      <c r="E268" t="str">
        <f>IFERROR(INDEX(Sheet3!$A$2:$A$30,MATCH(TRUE,ISNUMBER(SEARCH(Sheet3!$A$2:$A$30,D268)),0)),"")</f>
        <v/>
      </c>
    </row>
    <row r="269" spans="2:5" x14ac:dyDescent="0.3">
      <c r="B269" s="87" t="s">
        <v>433</v>
      </c>
      <c r="C269" s="88" t="s">
        <v>818</v>
      </c>
      <c r="D269" s="90" t="s">
        <v>98</v>
      </c>
      <c r="E269" t="str">
        <f>IFERROR(INDEX(Sheet3!$A$2:$A$30,MATCH(TRUE,ISNUMBER(SEARCH(Sheet3!$A$2:$A$30,D269)),0)),"")</f>
        <v/>
      </c>
    </row>
    <row r="270" spans="2:5" x14ac:dyDescent="0.3">
      <c r="B270" s="87" t="s">
        <v>434</v>
      </c>
      <c r="C270" s="88" t="s">
        <v>818</v>
      </c>
      <c r="D270" s="90" t="s">
        <v>109</v>
      </c>
      <c r="E270" t="str">
        <f>IFERROR(INDEX(Sheet3!$A$2:$A$30,MATCH(TRUE,ISNUMBER(SEARCH(Sheet3!$A$2:$A$30,D270)),0)),"")</f>
        <v/>
      </c>
    </row>
    <row r="271" spans="2:5" x14ac:dyDescent="0.3">
      <c r="B271" s="87" t="s">
        <v>435</v>
      </c>
      <c r="C271" s="88" t="s">
        <v>818</v>
      </c>
      <c r="D271" s="90" t="s">
        <v>110</v>
      </c>
      <c r="E271" t="str">
        <f>IFERROR(INDEX(Sheet3!$A$2:$A$30,MATCH(TRUE,ISNUMBER(SEARCH(Sheet3!$A$2:$A$30,D271)),0)),"")</f>
        <v/>
      </c>
    </row>
    <row r="272" spans="2:5" x14ac:dyDescent="0.3">
      <c r="B272" s="87" t="s">
        <v>436</v>
      </c>
      <c r="C272" s="88" t="s">
        <v>818</v>
      </c>
      <c r="D272" s="90" t="s">
        <v>110</v>
      </c>
      <c r="E272" t="str">
        <f>IFERROR(INDEX(Sheet3!$A$2:$A$30,MATCH(TRUE,ISNUMBER(SEARCH(Sheet3!$A$2:$A$30,D272)),0)),"")</f>
        <v/>
      </c>
    </row>
    <row r="273" spans="2:5" x14ac:dyDescent="0.3">
      <c r="B273" s="87" t="s">
        <v>437</v>
      </c>
      <c r="C273" s="88" t="s">
        <v>818</v>
      </c>
      <c r="D273" s="90" t="s">
        <v>29</v>
      </c>
      <c r="E273" t="str">
        <f>IFERROR(INDEX(Sheet3!$A$2:$A$30,MATCH(TRUE,ISNUMBER(SEARCH(Sheet3!$A$2:$A$30,D273)),0)),"")</f>
        <v/>
      </c>
    </row>
    <row r="274" spans="2:5" x14ac:dyDescent="0.3">
      <c r="B274" s="87" t="s">
        <v>438</v>
      </c>
      <c r="C274" s="88" t="s">
        <v>818</v>
      </c>
      <c r="D274" s="90" t="s">
        <v>96</v>
      </c>
      <c r="E274" t="str">
        <f>IFERROR(INDEX(Sheet3!$A$2:$A$30,MATCH(TRUE,ISNUMBER(SEARCH(Sheet3!$A$2:$A$30,D274)),0)),"")</f>
        <v/>
      </c>
    </row>
    <row r="275" spans="2:5" x14ac:dyDescent="0.3">
      <c r="B275" s="87" t="s">
        <v>439</v>
      </c>
      <c r="C275" s="88" t="s">
        <v>818</v>
      </c>
      <c r="D275" s="90" t="s">
        <v>101</v>
      </c>
      <c r="E275" t="str">
        <f>IFERROR(INDEX(Sheet3!$A$2:$A$30,MATCH(TRUE,ISNUMBER(SEARCH(Sheet3!$A$2:$A$30,D275)),0)),"")</f>
        <v/>
      </c>
    </row>
    <row r="276" spans="2:5" x14ac:dyDescent="0.3">
      <c r="B276" s="87" t="s">
        <v>440</v>
      </c>
      <c r="C276" s="88" t="s">
        <v>818</v>
      </c>
      <c r="D276" s="90" t="s">
        <v>832</v>
      </c>
      <c r="E276" t="str">
        <f>IFERROR(INDEX(Sheet3!$A$2:$A$30,MATCH(TRUE,ISNUMBER(SEARCH(Sheet3!$A$2:$A$30,D276)),0)),"")</f>
        <v/>
      </c>
    </row>
    <row r="277" spans="2:5" x14ac:dyDescent="0.3">
      <c r="B277" s="87" t="s">
        <v>441</v>
      </c>
      <c r="C277" s="88" t="s">
        <v>818</v>
      </c>
      <c r="D277" s="90" t="s">
        <v>3</v>
      </c>
      <c r="E277" t="str">
        <f>IFERROR(INDEX(Sheet3!$A$2:$A$30,MATCH(TRUE,ISNUMBER(SEARCH(Sheet3!$A$2:$A$30,D277)),0)),"")</f>
        <v/>
      </c>
    </row>
    <row r="278" spans="2:5" x14ac:dyDescent="0.3">
      <c r="B278" s="87" t="s">
        <v>442</v>
      </c>
      <c r="C278" s="88" t="s">
        <v>818</v>
      </c>
      <c r="D278" s="90" t="s">
        <v>109</v>
      </c>
      <c r="E278" t="str">
        <f>IFERROR(INDEX(Sheet3!$A$2:$A$30,MATCH(TRUE,ISNUMBER(SEARCH(Sheet3!$A$2:$A$30,D278)),0)),"")</f>
        <v/>
      </c>
    </row>
    <row r="279" spans="2:5" x14ac:dyDescent="0.3">
      <c r="B279" s="87" t="s">
        <v>443</v>
      </c>
      <c r="C279" s="88" t="s">
        <v>818</v>
      </c>
      <c r="D279" s="90" t="s">
        <v>840</v>
      </c>
      <c r="E279" t="str">
        <f>IFERROR(INDEX(Sheet3!$A$2:$A$30,MATCH(TRUE,ISNUMBER(SEARCH(Sheet3!$A$2:$A$30,D279)),0)),"")</f>
        <v/>
      </c>
    </row>
    <row r="280" spans="2:5" x14ac:dyDescent="0.3">
      <c r="B280" s="87" t="s">
        <v>444</v>
      </c>
      <c r="C280" s="88" t="s">
        <v>818</v>
      </c>
      <c r="D280" s="90" t="s">
        <v>112</v>
      </c>
      <c r="E280" t="str">
        <f>IFERROR(INDEX(Sheet3!$A$2:$A$30,MATCH(TRUE,ISNUMBER(SEARCH(Sheet3!$A$2:$A$30,D280)),0)),"")</f>
        <v/>
      </c>
    </row>
    <row r="281" spans="2:5" x14ac:dyDescent="0.3">
      <c r="B281" s="87" t="s">
        <v>445</v>
      </c>
      <c r="C281" s="88" t="s">
        <v>818</v>
      </c>
      <c r="D281" s="90" t="s">
        <v>3</v>
      </c>
      <c r="E281" t="str">
        <f>IFERROR(INDEX(Sheet3!$A$2:$A$30,MATCH(TRUE,ISNUMBER(SEARCH(Sheet3!$A$2:$A$30,D281)),0)),"")</f>
        <v/>
      </c>
    </row>
    <row r="282" spans="2:5" x14ac:dyDescent="0.3">
      <c r="B282" s="87" t="s">
        <v>446</v>
      </c>
      <c r="C282" s="88" t="s">
        <v>818</v>
      </c>
      <c r="D282" s="90" t="s">
        <v>835</v>
      </c>
      <c r="E282" t="str">
        <f>IFERROR(INDEX(Sheet3!$A$2:$A$30,MATCH(TRUE,ISNUMBER(SEARCH(Sheet3!$A$2:$A$30,D282)),0)),"")</f>
        <v/>
      </c>
    </row>
    <row r="283" spans="2:5" x14ac:dyDescent="0.3">
      <c r="B283" s="87" t="s">
        <v>447</v>
      </c>
      <c r="C283" s="88" t="s">
        <v>818</v>
      </c>
      <c r="D283" s="90" t="s">
        <v>3</v>
      </c>
      <c r="E283" t="str">
        <f>IFERROR(INDEX(Sheet3!$A$2:$A$30,MATCH(TRUE,ISNUMBER(SEARCH(Sheet3!$A$2:$A$30,D283)),0)),"")</f>
        <v/>
      </c>
    </row>
    <row r="284" spans="2:5" x14ac:dyDescent="0.3">
      <c r="B284" s="87" t="s">
        <v>448</v>
      </c>
      <c r="C284" s="88" t="s">
        <v>818</v>
      </c>
      <c r="D284" s="90" t="s">
        <v>832</v>
      </c>
      <c r="E284" t="str">
        <f>IFERROR(INDEX(Sheet3!$A$2:$A$30,MATCH(TRUE,ISNUMBER(SEARCH(Sheet3!$A$2:$A$30,D284)),0)),"")</f>
        <v/>
      </c>
    </row>
    <row r="285" spans="2:5" x14ac:dyDescent="0.3">
      <c r="B285" s="87" t="s">
        <v>449</v>
      </c>
      <c r="C285" s="88" t="s">
        <v>818</v>
      </c>
      <c r="D285" s="90" t="s">
        <v>37</v>
      </c>
      <c r="E285" t="str">
        <f>IFERROR(INDEX(Sheet3!$A$2:$A$30,MATCH(TRUE,ISNUMBER(SEARCH(Sheet3!$A$2:$A$30,D285)),0)),"")</f>
        <v/>
      </c>
    </row>
    <row r="286" spans="2:5" x14ac:dyDescent="0.3">
      <c r="B286" s="87" t="s">
        <v>450</v>
      </c>
      <c r="C286" s="88" t="s">
        <v>818</v>
      </c>
      <c r="D286" s="90" t="s">
        <v>841</v>
      </c>
      <c r="E286" t="str">
        <f>IFERROR(INDEX(Sheet3!$A$2:$A$30,MATCH(TRUE,ISNUMBER(SEARCH(Sheet3!$A$2:$A$30,D286)),0)),"")</f>
        <v/>
      </c>
    </row>
    <row r="287" spans="2:5" x14ac:dyDescent="0.3">
      <c r="B287" s="87" t="s">
        <v>451</v>
      </c>
      <c r="C287" s="88" t="s">
        <v>818</v>
      </c>
      <c r="D287" s="90" t="s">
        <v>3</v>
      </c>
      <c r="E287" t="str">
        <f>IFERROR(INDEX(Sheet3!$A$2:$A$30,MATCH(TRUE,ISNUMBER(SEARCH(Sheet3!$A$2:$A$30,D287)),0)),"")</f>
        <v/>
      </c>
    </row>
    <row r="288" spans="2:5" x14ac:dyDescent="0.3">
      <c r="B288" s="87" t="s">
        <v>452</v>
      </c>
      <c r="C288" s="88" t="s">
        <v>818</v>
      </c>
      <c r="D288" s="90" t="s">
        <v>3</v>
      </c>
      <c r="E288" t="str">
        <f>IFERROR(INDEX(Sheet3!$A$2:$A$30,MATCH(TRUE,ISNUMBER(SEARCH(Sheet3!$A$2:$A$30,D288)),0)),"")</f>
        <v/>
      </c>
    </row>
    <row r="289" spans="2:5" x14ac:dyDescent="0.3">
      <c r="B289" s="87" t="s">
        <v>453</v>
      </c>
      <c r="C289" s="88" t="s">
        <v>818</v>
      </c>
      <c r="D289" s="90" t="s">
        <v>37</v>
      </c>
      <c r="E289" t="str">
        <f>IFERROR(INDEX(Sheet3!$A$2:$A$30,MATCH(TRUE,ISNUMBER(SEARCH(Sheet3!$A$2:$A$30,D289)),0)),"")</f>
        <v/>
      </c>
    </row>
    <row r="290" spans="2:5" x14ac:dyDescent="0.3">
      <c r="B290" s="87" t="s">
        <v>454</v>
      </c>
      <c r="C290" s="88" t="s">
        <v>818</v>
      </c>
      <c r="D290" s="90" t="s">
        <v>3</v>
      </c>
      <c r="E290" t="str">
        <f>IFERROR(INDEX(Sheet3!$A$2:$A$30,MATCH(TRUE,ISNUMBER(SEARCH(Sheet3!$A$2:$A$30,D290)),0)),"")</f>
        <v/>
      </c>
    </row>
    <row r="291" spans="2:5" x14ac:dyDescent="0.3">
      <c r="B291" s="87" t="s">
        <v>455</v>
      </c>
      <c r="C291" s="88" t="s">
        <v>818</v>
      </c>
      <c r="D291" s="90" t="s">
        <v>832</v>
      </c>
      <c r="E291" t="str">
        <f>IFERROR(INDEX(Sheet3!$A$2:$A$30,MATCH(TRUE,ISNUMBER(SEARCH(Sheet3!$A$2:$A$30,D291)),0)),"")</f>
        <v/>
      </c>
    </row>
    <row r="292" spans="2:5" x14ac:dyDescent="0.3">
      <c r="B292" s="87" t="s">
        <v>456</v>
      </c>
      <c r="C292" s="88" t="s">
        <v>818</v>
      </c>
      <c r="D292" s="90" t="s">
        <v>69</v>
      </c>
      <c r="E292" t="str">
        <f>IFERROR(INDEX(Sheet3!$A$2:$A$30,MATCH(TRUE,ISNUMBER(SEARCH(Sheet3!$A$2:$A$30,D292)),0)),"")</f>
        <v/>
      </c>
    </row>
    <row r="293" spans="2:5" x14ac:dyDescent="0.3">
      <c r="B293" s="87" t="s">
        <v>457</v>
      </c>
      <c r="C293" s="88" t="s">
        <v>818</v>
      </c>
      <c r="D293" s="90" t="s">
        <v>110</v>
      </c>
      <c r="E293" t="str">
        <f>IFERROR(INDEX(Sheet3!$A$2:$A$30,MATCH(TRUE,ISNUMBER(SEARCH(Sheet3!$A$2:$A$30,D293)),0)),"")</f>
        <v/>
      </c>
    </row>
    <row r="294" spans="2:5" x14ac:dyDescent="0.3">
      <c r="B294" s="87" t="s">
        <v>458</v>
      </c>
      <c r="C294" s="88" t="s">
        <v>818</v>
      </c>
      <c r="D294" s="90" t="s">
        <v>838</v>
      </c>
      <c r="E294" t="str">
        <f>IFERROR(INDEX(Sheet3!$A$2:$A$30,MATCH(TRUE,ISNUMBER(SEARCH(Sheet3!$A$2:$A$30,D294)),0)),"")</f>
        <v/>
      </c>
    </row>
    <row r="295" spans="2:5" x14ac:dyDescent="0.3">
      <c r="B295" s="87" t="s">
        <v>459</v>
      </c>
      <c r="C295" s="88" t="s">
        <v>818</v>
      </c>
      <c r="D295" s="90" t="s">
        <v>832</v>
      </c>
      <c r="E295" t="str">
        <f>IFERROR(INDEX(Sheet3!$A$2:$A$30,MATCH(TRUE,ISNUMBER(SEARCH(Sheet3!$A$2:$A$30,D295)),0)),"")</f>
        <v/>
      </c>
    </row>
    <row r="296" spans="2:5" x14ac:dyDescent="0.3">
      <c r="B296" s="87" t="s">
        <v>460</v>
      </c>
      <c r="C296" s="88" t="s">
        <v>818</v>
      </c>
      <c r="D296" s="90" t="s">
        <v>29</v>
      </c>
      <c r="E296" t="str">
        <f>IFERROR(INDEX(Sheet3!$A$2:$A$30,MATCH(TRUE,ISNUMBER(SEARCH(Sheet3!$A$2:$A$30,D296)),0)),"")</f>
        <v/>
      </c>
    </row>
    <row r="297" spans="2:5" x14ac:dyDescent="0.3">
      <c r="B297" s="87" t="s">
        <v>461</v>
      </c>
      <c r="C297" s="88" t="s">
        <v>818</v>
      </c>
      <c r="D297" s="90" t="s">
        <v>37</v>
      </c>
      <c r="E297" t="str">
        <f>IFERROR(INDEX(Sheet3!$A$2:$A$30,MATCH(TRUE,ISNUMBER(SEARCH(Sheet3!$A$2:$A$30,D297)),0)),"")</f>
        <v/>
      </c>
    </row>
    <row r="298" spans="2:5" x14ac:dyDescent="0.3">
      <c r="B298" s="87" t="s">
        <v>462</v>
      </c>
      <c r="C298" s="88" t="s">
        <v>819</v>
      </c>
      <c r="D298" s="90" t="s">
        <v>99</v>
      </c>
      <c r="E298" t="str">
        <f>IFERROR(INDEX(Sheet3!$A$2:$A$30,MATCH(TRUE,ISNUMBER(SEARCH(Sheet3!$A$2:$A$30,D298)),0)),"")</f>
        <v/>
      </c>
    </row>
    <row r="299" spans="2:5" x14ac:dyDescent="0.3">
      <c r="B299" s="87" t="s">
        <v>463</v>
      </c>
      <c r="C299" s="88" t="s">
        <v>819</v>
      </c>
      <c r="D299" s="90" t="s">
        <v>836</v>
      </c>
      <c r="E299" t="str">
        <f>IFERROR(INDEX(Sheet3!$A$2:$A$30,MATCH(TRUE,ISNUMBER(SEARCH(Sheet3!$A$2:$A$30,D299)),0)),"")</f>
        <v/>
      </c>
    </row>
    <row r="300" spans="2:5" x14ac:dyDescent="0.3">
      <c r="B300" s="87" t="s">
        <v>464</v>
      </c>
      <c r="C300" s="88" t="s">
        <v>819</v>
      </c>
      <c r="D300" s="90" t="s">
        <v>832</v>
      </c>
      <c r="E300" t="str">
        <f>IFERROR(INDEX(Sheet3!$A$2:$A$30,MATCH(TRUE,ISNUMBER(SEARCH(Sheet3!$A$2:$A$30,D300)),0)),"")</f>
        <v/>
      </c>
    </row>
    <row r="301" spans="2:5" x14ac:dyDescent="0.3">
      <c r="B301" s="87" t="s">
        <v>465</v>
      </c>
      <c r="C301" s="88" t="s">
        <v>819</v>
      </c>
      <c r="D301" s="90" t="s">
        <v>80</v>
      </c>
      <c r="E301" t="str">
        <f>IFERROR(INDEX(Sheet3!$A$2:$A$30,MATCH(TRUE,ISNUMBER(SEARCH(Sheet3!$A$2:$A$30,D301)),0)),"")</f>
        <v/>
      </c>
    </row>
    <row r="302" spans="2:5" ht="37.5" x14ac:dyDescent="0.3">
      <c r="B302" s="87" t="s">
        <v>466</v>
      </c>
      <c r="C302" s="88" t="s">
        <v>819</v>
      </c>
      <c r="D302" s="90" t="s">
        <v>98</v>
      </c>
      <c r="E302" t="str">
        <f>IFERROR(INDEX(Sheet3!$A$2:$A$30,MATCH(TRUE,ISNUMBER(SEARCH(Sheet3!$A$2:$A$30,D302)),0)),"")</f>
        <v/>
      </c>
    </row>
    <row r="303" spans="2:5" x14ac:dyDescent="0.3">
      <c r="B303" s="87" t="s">
        <v>467</v>
      </c>
      <c r="C303" s="88" t="s">
        <v>819</v>
      </c>
      <c r="D303" s="90" t="s">
        <v>98</v>
      </c>
      <c r="E303" t="str">
        <f>IFERROR(INDEX(Sheet3!$A$2:$A$30,MATCH(TRUE,ISNUMBER(SEARCH(Sheet3!$A$2:$A$30,D303)),0)),"")</f>
        <v/>
      </c>
    </row>
    <row r="304" spans="2:5" x14ac:dyDescent="0.3">
      <c r="B304" s="87" t="s">
        <v>468</v>
      </c>
      <c r="C304" s="88" t="s">
        <v>819</v>
      </c>
      <c r="D304" s="90" t="s">
        <v>98</v>
      </c>
      <c r="E304" t="str">
        <f>IFERROR(INDEX(Sheet3!$A$2:$A$30,MATCH(TRUE,ISNUMBER(SEARCH(Sheet3!$A$2:$A$30,D304)),0)),"")</f>
        <v/>
      </c>
    </row>
    <row r="305" spans="2:5" x14ac:dyDescent="0.3">
      <c r="B305" s="87" t="s">
        <v>469</v>
      </c>
      <c r="C305" s="88" t="s">
        <v>819</v>
      </c>
      <c r="D305" s="90" t="s">
        <v>97</v>
      </c>
      <c r="E305" t="str">
        <f>IFERROR(INDEX(Sheet3!$A$2:$A$30,MATCH(TRUE,ISNUMBER(SEARCH(Sheet3!$A$2:$A$30,D305)),0)),"")</f>
        <v/>
      </c>
    </row>
    <row r="306" spans="2:5" x14ac:dyDescent="0.3">
      <c r="B306" s="87" t="s">
        <v>470</v>
      </c>
      <c r="C306" s="88" t="s">
        <v>819</v>
      </c>
      <c r="D306" s="90" t="s">
        <v>97</v>
      </c>
      <c r="E306" t="str">
        <f>IFERROR(INDEX(Sheet3!$A$2:$A$30,MATCH(TRUE,ISNUMBER(SEARCH(Sheet3!$A$2:$A$30,D306)),0)),"")</f>
        <v/>
      </c>
    </row>
    <row r="307" spans="2:5" x14ac:dyDescent="0.3">
      <c r="B307" s="87" t="s">
        <v>471</v>
      </c>
      <c r="C307" s="88" t="s">
        <v>819</v>
      </c>
      <c r="D307" s="90" t="s">
        <v>80</v>
      </c>
      <c r="E307" t="str">
        <f>IFERROR(INDEX(Sheet3!$A$2:$A$30,MATCH(TRUE,ISNUMBER(SEARCH(Sheet3!$A$2:$A$30,D307)),0)),"")</f>
        <v/>
      </c>
    </row>
    <row r="308" spans="2:5" x14ac:dyDescent="0.3">
      <c r="B308" s="87" t="s">
        <v>472</v>
      </c>
      <c r="C308" s="88" t="s">
        <v>819</v>
      </c>
      <c r="D308" s="90" t="s">
        <v>110</v>
      </c>
      <c r="E308" t="str">
        <f>IFERROR(INDEX(Sheet3!$A$2:$A$30,MATCH(TRUE,ISNUMBER(SEARCH(Sheet3!$A$2:$A$30,D308)),0)),"")</f>
        <v/>
      </c>
    </row>
    <row r="309" spans="2:5" x14ac:dyDescent="0.3">
      <c r="B309" s="87" t="s">
        <v>473</v>
      </c>
      <c r="C309" s="88" t="s">
        <v>819</v>
      </c>
      <c r="D309" s="90" t="s">
        <v>840</v>
      </c>
      <c r="E309" t="str">
        <f>IFERROR(INDEX(Sheet3!$A$2:$A$30,MATCH(TRUE,ISNUMBER(SEARCH(Sheet3!$A$2:$A$30,D309)),0)),"")</f>
        <v/>
      </c>
    </row>
    <row r="310" spans="2:5" x14ac:dyDescent="0.3">
      <c r="B310" s="87" t="s">
        <v>474</v>
      </c>
      <c r="C310" s="88" t="s">
        <v>819</v>
      </c>
      <c r="D310" s="90" t="s">
        <v>832</v>
      </c>
      <c r="E310" t="str">
        <f>IFERROR(INDEX(Sheet3!$A$2:$A$30,MATCH(TRUE,ISNUMBER(SEARCH(Sheet3!$A$2:$A$30,D310)),0)),"")</f>
        <v/>
      </c>
    </row>
    <row r="311" spans="2:5" x14ac:dyDescent="0.3">
      <c r="B311" s="87" t="s">
        <v>475</v>
      </c>
      <c r="C311" s="88" t="s">
        <v>819</v>
      </c>
      <c r="D311" s="90" t="s">
        <v>29</v>
      </c>
      <c r="E311" t="str">
        <f>IFERROR(INDEX(Sheet3!$A$2:$A$30,MATCH(TRUE,ISNUMBER(SEARCH(Sheet3!$A$2:$A$30,D311)),0)),"")</f>
        <v/>
      </c>
    </row>
    <row r="312" spans="2:5" x14ac:dyDescent="0.3">
      <c r="B312" s="87" t="s">
        <v>476</v>
      </c>
      <c r="C312" s="88" t="s">
        <v>819</v>
      </c>
      <c r="D312" s="90" t="s">
        <v>3</v>
      </c>
      <c r="E312" t="str">
        <f>IFERROR(INDEX(Sheet3!$A$2:$A$30,MATCH(TRUE,ISNUMBER(SEARCH(Sheet3!$A$2:$A$30,D312)),0)),"")</f>
        <v/>
      </c>
    </row>
    <row r="313" spans="2:5" x14ac:dyDescent="0.3">
      <c r="B313" s="87" t="s">
        <v>477</v>
      </c>
      <c r="C313" s="88" t="s">
        <v>819</v>
      </c>
      <c r="D313" s="90" t="s">
        <v>37</v>
      </c>
      <c r="E313" t="str">
        <f>IFERROR(INDEX(Sheet3!$A$2:$A$30,MATCH(TRUE,ISNUMBER(SEARCH(Sheet3!$A$2:$A$30,D313)),0)),"")</f>
        <v/>
      </c>
    </row>
    <row r="314" spans="2:5" x14ac:dyDescent="0.3">
      <c r="B314" s="87" t="s">
        <v>478</v>
      </c>
      <c r="C314" s="88" t="s">
        <v>819</v>
      </c>
      <c r="D314" s="90" t="s">
        <v>110</v>
      </c>
      <c r="E314" t="str">
        <f>IFERROR(INDEX(Sheet3!$A$2:$A$30,MATCH(TRUE,ISNUMBER(SEARCH(Sheet3!$A$2:$A$30,D314)),0)),"")</f>
        <v/>
      </c>
    </row>
    <row r="315" spans="2:5" x14ac:dyDescent="0.3">
      <c r="B315" s="87" t="s">
        <v>479</v>
      </c>
      <c r="C315" s="88" t="s">
        <v>819</v>
      </c>
      <c r="D315" s="90" t="s">
        <v>842</v>
      </c>
      <c r="E315" t="str">
        <f>IFERROR(INDEX(Sheet3!$A$2:$A$30,MATCH(TRUE,ISNUMBER(SEARCH(Sheet3!$A$2:$A$30,D315)),0)),"")</f>
        <v/>
      </c>
    </row>
    <row r="316" spans="2:5" x14ac:dyDescent="0.3">
      <c r="B316" s="87" t="s">
        <v>480</v>
      </c>
      <c r="C316" s="88" t="s">
        <v>819</v>
      </c>
      <c r="D316" s="90" t="s">
        <v>99</v>
      </c>
      <c r="E316" t="str">
        <f>IFERROR(INDEX(Sheet3!$A$2:$A$30,MATCH(TRUE,ISNUMBER(SEARCH(Sheet3!$A$2:$A$30,D316)),0)),"")</f>
        <v/>
      </c>
    </row>
    <row r="317" spans="2:5" x14ac:dyDescent="0.3">
      <c r="B317" s="87" t="s">
        <v>481</v>
      </c>
      <c r="C317" s="88" t="s">
        <v>819</v>
      </c>
      <c r="D317" s="90" t="s">
        <v>82</v>
      </c>
      <c r="E317" t="str">
        <f>IFERROR(INDEX(Sheet3!$A$2:$A$30,MATCH(TRUE,ISNUMBER(SEARCH(Sheet3!$A$2:$A$30,D317)),0)),"")</f>
        <v/>
      </c>
    </row>
    <row r="318" spans="2:5" x14ac:dyDescent="0.3">
      <c r="B318" s="87" t="s">
        <v>482</v>
      </c>
      <c r="C318" s="88" t="s">
        <v>819</v>
      </c>
      <c r="D318" s="90" t="s">
        <v>3</v>
      </c>
      <c r="E318" t="str">
        <f>IFERROR(INDEX(Sheet3!$A$2:$A$30,MATCH(TRUE,ISNUMBER(SEARCH(Sheet3!$A$2:$A$30,D318)),0)),"")</f>
        <v/>
      </c>
    </row>
    <row r="319" spans="2:5" x14ac:dyDescent="0.3">
      <c r="B319" s="87" t="s">
        <v>483</v>
      </c>
      <c r="C319" s="88" t="s">
        <v>819</v>
      </c>
      <c r="D319" s="90" t="s">
        <v>98</v>
      </c>
      <c r="E319" t="str">
        <f>IFERROR(INDEX(Sheet3!$A$2:$A$30,MATCH(TRUE,ISNUMBER(SEARCH(Sheet3!$A$2:$A$30,D319)),0)),"")</f>
        <v/>
      </c>
    </row>
    <row r="320" spans="2:5" x14ac:dyDescent="0.3">
      <c r="B320" s="87" t="s">
        <v>484</v>
      </c>
      <c r="C320" s="88" t="s">
        <v>819</v>
      </c>
      <c r="D320" s="90" t="s">
        <v>69</v>
      </c>
      <c r="E320" t="str">
        <f>IFERROR(INDEX(Sheet3!$A$2:$A$30,MATCH(TRUE,ISNUMBER(SEARCH(Sheet3!$A$2:$A$30,D320)),0)),"")</f>
        <v/>
      </c>
    </row>
    <row r="321" spans="2:5" x14ac:dyDescent="0.3">
      <c r="B321" s="87" t="s">
        <v>485</v>
      </c>
      <c r="C321" s="88" t="s">
        <v>819</v>
      </c>
      <c r="D321" s="90" t="s">
        <v>109</v>
      </c>
      <c r="E321" t="str">
        <f>IFERROR(INDEX(Sheet3!$A$2:$A$30,MATCH(TRUE,ISNUMBER(SEARCH(Sheet3!$A$2:$A$30,D321)),0)),"")</f>
        <v/>
      </c>
    </row>
    <row r="322" spans="2:5" x14ac:dyDescent="0.3">
      <c r="B322" s="87" t="s">
        <v>486</v>
      </c>
      <c r="C322" s="88" t="s">
        <v>819</v>
      </c>
      <c r="D322" s="90" t="s">
        <v>832</v>
      </c>
      <c r="E322" t="str">
        <f>IFERROR(INDEX(Sheet3!$A$2:$A$30,MATCH(TRUE,ISNUMBER(SEARCH(Sheet3!$A$2:$A$30,D322)),0)),"")</f>
        <v/>
      </c>
    </row>
    <row r="323" spans="2:5" x14ac:dyDescent="0.3">
      <c r="B323" s="87" t="s">
        <v>487</v>
      </c>
      <c r="C323" s="88" t="s">
        <v>819</v>
      </c>
      <c r="D323" s="90" t="s">
        <v>72</v>
      </c>
      <c r="E323" t="str">
        <f>IFERROR(INDEX(Sheet3!$A$2:$A$30,MATCH(TRUE,ISNUMBER(SEARCH(Sheet3!$A$2:$A$30,D323)),0)),"")</f>
        <v/>
      </c>
    </row>
    <row r="324" spans="2:5" x14ac:dyDescent="0.3">
      <c r="B324" s="87" t="s">
        <v>488</v>
      </c>
      <c r="C324" s="88" t="s">
        <v>819</v>
      </c>
      <c r="D324" s="90" t="s">
        <v>98</v>
      </c>
      <c r="E324" t="str">
        <f>IFERROR(INDEX(Sheet3!$A$2:$A$30,MATCH(TRUE,ISNUMBER(SEARCH(Sheet3!$A$2:$A$30,D324)),0)),"")</f>
        <v/>
      </c>
    </row>
    <row r="325" spans="2:5" x14ac:dyDescent="0.3">
      <c r="B325" s="87" t="s">
        <v>489</v>
      </c>
      <c r="C325" s="88" t="s">
        <v>819</v>
      </c>
      <c r="D325" s="90" t="s">
        <v>110</v>
      </c>
      <c r="E325" t="str">
        <f>IFERROR(INDEX(Sheet3!$A$2:$A$30,MATCH(TRUE,ISNUMBER(SEARCH(Sheet3!$A$2:$A$30,D325)),0)),"")</f>
        <v/>
      </c>
    </row>
    <row r="326" spans="2:5" x14ac:dyDescent="0.3">
      <c r="B326" s="87" t="s">
        <v>490</v>
      </c>
      <c r="C326" s="88" t="s">
        <v>819</v>
      </c>
      <c r="D326" s="90" t="s">
        <v>96</v>
      </c>
      <c r="E326" t="str">
        <f>IFERROR(INDEX(Sheet3!$A$2:$A$30,MATCH(TRUE,ISNUMBER(SEARCH(Sheet3!$A$2:$A$30,D326)),0)),"")</f>
        <v/>
      </c>
    </row>
    <row r="327" spans="2:5" x14ac:dyDescent="0.3">
      <c r="B327" s="87" t="s">
        <v>491</v>
      </c>
      <c r="C327" s="88" t="s">
        <v>819</v>
      </c>
      <c r="D327" s="90" t="s">
        <v>69</v>
      </c>
      <c r="E327" t="str">
        <f>IFERROR(INDEX(Sheet3!$A$2:$A$30,MATCH(TRUE,ISNUMBER(SEARCH(Sheet3!$A$2:$A$30,D327)),0)),"")</f>
        <v/>
      </c>
    </row>
    <row r="328" spans="2:5" x14ac:dyDescent="0.3">
      <c r="B328" s="87" t="s">
        <v>492</v>
      </c>
      <c r="C328" s="88" t="s">
        <v>819</v>
      </c>
      <c r="D328" s="90" t="s">
        <v>40</v>
      </c>
      <c r="E328" t="str">
        <f>IFERROR(INDEX(Sheet3!$A$2:$A$30,MATCH(TRUE,ISNUMBER(SEARCH(Sheet3!$A$2:$A$30,D328)),0)),"")</f>
        <v/>
      </c>
    </row>
    <row r="329" spans="2:5" x14ac:dyDescent="0.3">
      <c r="B329" s="87" t="s">
        <v>493</v>
      </c>
      <c r="C329" s="88" t="s">
        <v>820</v>
      </c>
      <c r="D329" s="90" t="s">
        <v>3</v>
      </c>
      <c r="E329" t="str">
        <f>IFERROR(INDEX(Sheet3!$A$2:$A$30,MATCH(TRUE,ISNUMBER(SEARCH(Sheet3!$A$2:$A$30,D329)),0)),"")</f>
        <v/>
      </c>
    </row>
    <row r="330" spans="2:5" x14ac:dyDescent="0.3">
      <c r="B330" s="87" t="s">
        <v>494</v>
      </c>
      <c r="C330" s="88" t="s">
        <v>820</v>
      </c>
      <c r="D330" s="90" t="s">
        <v>37</v>
      </c>
      <c r="E330" t="str">
        <f>IFERROR(INDEX(Sheet3!$A$2:$A$30,MATCH(TRUE,ISNUMBER(SEARCH(Sheet3!$A$2:$A$30,D330)),0)),"")</f>
        <v/>
      </c>
    </row>
    <row r="331" spans="2:5" x14ac:dyDescent="0.3">
      <c r="B331" s="87" t="s">
        <v>495</v>
      </c>
      <c r="C331" s="88" t="s">
        <v>820</v>
      </c>
      <c r="D331" s="90" t="s">
        <v>37</v>
      </c>
      <c r="E331" t="str">
        <f>IFERROR(INDEX(Sheet3!$A$2:$A$30,MATCH(TRUE,ISNUMBER(SEARCH(Sheet3!$A$2:$A$30,D331)),0)),"")</f>
        <v/>
      </c>
    </row>
    <row r="332" spans="2:5" x14ac:dyDescent="0.3">
      <c r="B332" s="87" t="s">
        <v>496</v>
      </c>
      <c r="C332" s="88" t="s">
        <v>820</v>
      </c>
      <c r="D332" s="90" t="s">
        <v>37</v>
      </c>
      <c r="E332" t="str">
        <f>IFERROR(INDEX(Sheet3!$A$2:$A$30,MATCH(TRUE,ISNUMBER(SEARCH(Sheet3!$A$2:$A$30,D332)),0)),"")</f>
        <v/>
      </c>
    </row>
    <row r="333" spans="2:5" x14ac:dyDescent="0.3">
      <c r="B333" s="87" t="s">
        <v>497</v>
      </c>
      <c r="C333" s="88" t="s">
        <v>820</v>
      </c>
      <c r="D333" s="90" t="s">
        <v>37</v>
      </c>
      <c r="E333" t="str">
        <f>IFERROR(INDEX(Sheet3!$A$2:$A$30,MATCH(TRUE,ISNUMBER(SEARCH(Sheet3!$A$2:$A$30,D333)),0)),"")</f>
        <v/>
      </c>
    </row>
    <row r="334" spans="2:5" x14ac:dyDescent="0.3">
      <c r="B334" s="87" t="s">
        <v>498</v>
      </c>
      <c r="C334" s="88" t="s">
        <v>820</v>
      </c>
      <c r="D334" s="90" t="s">
        <v>37</v>
      </c>
      <c r="E334" t="str">
        <f>IFERROR(INDEX(Sheet3!$A$2:$A$30,MATCH(TRUE,ISNUMBER(SEARCH(Sheet3!$A$2:$A$30,D334)),0)),"")</f>
        <v/>
      </c>
    </row>
    <row r="335" spans="2:5" x14ac:dyDescent="0.3">
      <c r="B335" s="87" t="s">
        <v>499</v>
      </c>
      <c r="C335" s="88" t="s">
        <v>820</v>
      </c>
      <c r="D335" s="90" t="s">
        <v>97</v>
      </c>
      <c r="E335" t="str">
        <f>IFERROR(INDEX(Sheet3!$A$2:$A$30,MATCH(TRUE,ISNUMBER(SEARCH(Sheet3!$A$2:$A$30,D335)),0)),"")</f>
        <v/>
      </c>
    </row>
    <row r="336" spans="2:5" x14ac:dyDescent="0.3">
      <c r="B336" s="87" t="s">
        <v>500</v>
      </c>
      <c r="C336" s="88" t="s">
        <v>820</v>
      </c>
      <c r="D336" s="90" t="s">
        <v>96</v>
      </c>
      <c r="E336" t="str">
        <f>IFERROR(INDEX(Sheet3!$A$2:$A$30,MATCH(TRUE,ISNUMBER(SEARCH(Sheet3!$A$2:$A$30,D336)),0)),"")</f>
        <v/>
      </c>
    </row>
    <row r="337" spans="2:5" x14ac:dyDescent="0.3">
      <c r="B337" s="87" t="s">
        <v>501</v>
      </c>
      <c r="C337" s="88" t="s">
        <v>820</v>
      </c>
      <c r="D337" s="90" t="s">
        <v>838</v>
      </c>
      <c r="E337" t="str">
        <f>IFERROR(INDEX(Sheet3!$A$2:$A$30,MATCH(TRUE,ISNUMBER(SEARCH(Sheet3!$A$2:$A$30,D337)),0)),"")</f>
        <v/>
      </c>
    </row>
    <row r="338" spans="2:5" x14ac:dyDescent="0.3">
      <c r="B338" s="87" t="s">
        <v>502</v>
      </c>
      <c r="C338" s="88" t="s">
        <v>820</v>
      </c>
      <c r="D338" s="90" t="s">
        <v>37</v>
      </c>
      <c r="E338" t="str">
        <f>IFERROR(INDEX(Sheet3!$A$2:$A$30,MATCH(TRUE,ISNUMBER(SEARCH(Sheet3!$A$2:$A$30,D338)),0)),"")</f>
        <v/>
      </c>
    </row>
    <row r="339" spans="2:5" x14ac:dyDescent="0.3">
      <c r="B339" s="87" t="s">
        <v>503</v>
      </c>
      <c r="C339" s="88" t="s">
        <v>820</v>
      </c>
      <c r="D339" s="90" t="s">
        <v>72</v>
      </c>
      <c r="E339" t="str">
        <f>IFERROR(INDEX(Sheet3!$A$2:$A$30,MATCH(TRUE,ISNUMBER(SEARCH(Sheet3!$A$2:$A$30,D339)),0)),"")</f>
        <v/>
      </c>
    </row>
    <row r="340" spans="2:5" x14ac:dyDescent="0.3">
      <c r="B340" s="87" t="s">
        <v>504</v>
      </c>
      <c r="C340" s="88" t="s">
        <v>820</v>
      </c>
      <c r="D340" s="90" t="s">
        <v>3</v>
      </c>
      <c r="E340" t="str">
        <f>IFERROR(INDEX(Sheet3!$A$2:$A$30,MATCH(TRUE,ISNUMBER(SEARCH(Sheet3!$A$2:$A$30,D340)),0)),"")</f>
        <v/>
      </c>
    </row>
    <row r="341" spans="2:5" x14ac:dyDescent="0.3">
      <c r="B341" s="87" t="s">
        <v>505</v>
      </c>
      <c r="C341" s="88" t="s">
        <v>820</v>
      </c>
      <c r="D341" s="90" t="s">
        <v>835</v>
      </c>
      <c r="E341" t="str">
        <f>IFERROR(INDEX(Sheet3!$A$2:$A$30,MATCH(TRUE,ISNUMBER(SEARCH(Sheet3!$A$2:$A$30,D341)),0)),"")</f>
        <v/>
      </c>
    </row>
    <row r="342" spans="2:5" x14ac:dyDescent="0.3">
      <c r="B342" s="87" t="s">
        <v>506</v>
      </c>
      <c r="C342" s="88" t="s">
        <v>820</v>
      </c>
      <c r="D342" s="90" t="s">
        <v>37</v>
      </c>
      <c r="E342" t="str">
        <f>IFERROR(INDEX(Sheet3!$A$2:$A$30,MATCH(TRUE,ISNUMBER(SEARCH(Sheet3!$A$2:$A$30,D342)),0)),"")</f>
        <v/>
      </c>
    </row>
    <row r="343" spans="2:5" x14ac:dyDescent="0.3">
      <c r="B343" s="87" t="s">
        <v>507</v>
      </c>
      <c r="C343" s="88" t="s">
        <v>820</v>
      </c>
      <c r="D343" s="90" t="s">
        <v>835</v>
      </c>
      <c r="E343" t="str">
        <f>IFERROR(INDEX(Sheet3!$A$2:$A$30,MATCH(TRUE,ISNUMBER(SEARCH(Sheet3!$A$2:$A$30,D343)),0)),"")</f>
        <v/>
      </c>
    </row>
    <row r="344" spans="2:5" x14ac:dyDescent="0.3">
      <c r="B344" s="87" t="s">
        <v>508</v>
      </c>
      <c r="C344" s="88" t="s">
        <v>820</v>
      </c>
      <c r="D344" s="90" t="s">
        <v>29</v>
      </c>
      <c r="E344" t="str">
        <f>IFERROR(INDEX(Sheet3!$A$2:$A$30,MATCH(TRUE,ISNUMBER(SEARCH(Sheet3!$A$2:$A$30,D344)),0)),"")</f>
        <v/>
      </c>
    </row>
    <row r="345" spans="2:5" x14ac:dyDescent="0.3">
      <c r="B345" s="87" t="s">
        <v>509</v>
      </c>
      <c r="C345" s="88" t="s">
        <v>820</v>
      </c>
      <c r="D345" s="90" t="s">
        <v>72</v>
      </c>
      <c r="E345" t="str">
        <f>IFERROR(INDEX(Sheet3!$A$2:$A$30,MATCH(TRUE,ISNUMBER(SEARCH(Sheet3!$A$2:$A$30,D345)),0)),"")</f>
        <v/>
      </c>
    </row>
    <row r="346" spans="2:5" x14ac:dyDescent="0.3">
      <c r="B346" s="87" t="s">
        <v>510</v>
      </c>
      <c r="C346" s="88" t="s">
        <v>820</v>
      </c>
      <c r="D346" s="90" t="s">
        <v>72</v>
      </c>
      <c r="E346" t="str">
        <f>IFERROR(INDEX(Sheet3!$A$2:$A$30,MATCH(TRUE,ISNUMBER(SEARCH(Sheet3!$A$2:$A$30,D346)),0)),"")</f>
        <v/>
      </c>
    </row>
    <row r="347" spans="2:5" x14ac:dyDescent="0.3">
      <c r="B347" s="87" t="s">
        <v>511</v>
      </c>
      <c r="C347" s="88" t="s">
        <v>820</v>
      </c>
      <c r="D347" s="90" t="s">
        <v>106</v>
      </c>
      <c r="E347" t="str">
        <f>IFERROR(INDEX(Sheet3!$A$2:$A$30,MATCH(TRUE,ISNUMBER(SEARCH(Sheet3!$A$2:$A$30,D347)),0)),"")</f>
        <v/>
      </c>
    </row>
    <row r="348" spans="2:5" x14ac:dyDescent="0.3">
      <c r="B348" s="87" t="s">
        <v>512</v>
      </c>
      <c r="C348" s="88" t="s">
        <v>820</v>
      </c>
      <c r="D348" s="90" t="s">
        <v>101</v>
      </c>
      <c r="E348" t="str">
        <f>IFERROR(INDEX(Sheet3!$A$2:$A$30,MATCH(TRUE,ISNUMBER(SEARCH(Sheet3!$A$2:$A$30,D348)),0)),"")</f>
        <v/>
      </c>
    </row>
    <row r="349" spans="2:5" x14ac:dyDescent="0.3">
      <c r="B349" s="87" t="s">
        <v>513</v>
      </c>
      <c r="C349" s="88" t="s">
        <v>820</v>
      </c>
      <c r="D349" s="90" t="s">
        <v>37</v>
      </c>
      <c r="E349" t="str">
        <f>IFERROR(INDEX(Sheet3!$A$2:$A$30,MATCH(TRUE,ISNUMBER(SEARCH(Sheet3!$A$2:$A$30,D349)),0)),"")</f>
        <v/>
      </c>
    </row>
    <row r="350" spans="2:5" x14ac:dyDescent="0.3">
      <c r="B350" s="87" t="s">
        <v>514</v>
      </c>
      <c r="C350" s="88" t="s">
        <v>820</v>
      </c>
      <c r="D350" s="90" t="s">
        <v>72</v>
      </c>
      <c r="E350" t="str">
        <f>IFERROR(INDEX(Sheet3!$A$2:$A$30,MATCH(TRUE,ISNUMBER(SEARCH(Sheet3!$A$2:$A$30,D350)),0)),"")</f>
        <v/>
      </c>
    </row>
    <row r="351" spans="2:5" x14ac:dyDescent="0.3">
      <c r="B351" s="87" t="s">
        <v>515</v>
      </c>
      <c r="C351" s="88" t="s">
        <v>820</v>
      </c>
      <c r="D351" s="90" t="s">
        <v>3</v>
      </c>
      <c r="E351" t="str">
        <f>IFERROR(INDEX(Sheet3!$A$2:$A$30,MATCH(TRUE,ISNUMBER(SEARCH(Sheet3!$A$2:$A$30,D351)),0)),"")</f>
        <v/>
      </c>
    </row>
    <row r="352" spans="2:5" x14ac:dyDescent="0.3">
      <c r="B352" s="87" t="s">
        <v>516</v>
      </c>
      <c r="C352" s="88" t="s">
        <v>820</v>
      </c>
      <c r="D352" s="90" t="s">
        <v>839</v>
      </c>
      <c r="E352" t="str">
        <f>IFERROR(INDEX(Sheet3!$A$2:$A$30,MATCH(TRUE,ISNUMBER(SEARCH(Sheet3!$A$2:$A$30,D352)),0)),"")</f>
        <v/>
      </c>
    </row>
    <row r="353" spans="2:5" x14ac:dyDescent="0.3">
      <c r="B353" s="87" t="s">
        <v>517</v>
      </c>
      <c r="C353" s="88" t="s">
        <v>820</v>
      </c>
      <c r="D353" s="90" t="s">
        <v>835</v>
      </c>
      <c r="E353" t="str">
        <f>IFERROR(INDEX(Sheet3!$A$2:$A$30,MATCH(TRUE,ISNUMBER(SEARCH(Sheet3!$A$2:$A$30,D353)),0)),"")</f>
        <v/>
      </c>
    </row>
    <row r="354" spans="2:5" x14ac:dyDescent="0.3">
      <c r="B354" s="87" t="s">
        <v>518</v>
      </c>
      <c r="C354" s="88" t="s">
        <v>820</v>
      </c>
      <c r="D354" s="90" t="s">
        <v>835</v>
      </c>
      <c r="E354" t="str">
        <f>IFERROR(INDEX(Sheet3!$A$2:$A$30,MATCH(TRUE,ISNUMBER(SEARCH(Sheet3!$A$2:$A$30,D354)),0)),"")</f>
        <v/>
      </c>
    </row>
    <row r="355" spans="2:5" x14ac:dyDescent="0.3">
      <c r="B355" s="87" t="s">
        <v>519</v>
      </c>
      <c r="C355" s="88" t="s">
        <v>820</v>
      </c>
      <c r="D355" s="90" t="s">
        <v>72</v>
      </c>
      <c r="E355" t="str">
        <f>IFERROR(INDEX(Sheet3!$A$2:$A$30,MATCH(TRUE,ISNUMBER(SEARCH(Sheet3!$A$2:$A$30,D355)),0)),"")</f>
        <v/>
      </c>
    </row>
    <row r="356" spans="2:5" x14ac:dyDescent="0.3">
      <c r="B356" s="87" t="s">
        <v>520</v>
      </c>
      <c r="C356" s="88" t="s">
        <v>820</v>
      </c>
      <c r="D356" s="90" t="s">
        <v>37</v>
      </c>
      <c r="E356" t="str">
        <f>IFERROR(INDEX(Sheet3!$A$2:$A$30,MATCH(TRUE,ISNUMBER(SEARCH(Sheet3!$A$2:$A$30,D356)),0)),"")</f>
        <v/>
      </c>
    </row>
    <row r="357" spans="2:5" x14ac:dyDescent="0.3">
      <c r="B357" s="87" t="s">
        <v>521</v>
      </c>
      <c r="C357" s="88" t="s">
        <v>820</v>
      </c>
      <c r="D357" s="90" t="s">
        <v>3</v>
      </c>
      <c r="E357" t="str">
        <f>IFERROR(INDEX(Sheet3!$A$2:$A$30,MATCH(TRUE,ISNUMBER(SEARCH(Sheet3!$A$2:$A$30,D357)),0)),"")</f>
        <v/>
      </c>
    </row>
    <row r="358" spans="2:5" x14ac:dyDescent="0.3">
      <c r="B358" s="87" t="s">
        <v>522</v>
      </c>
      <c r="C358" s="88" t="s">
        <v>820</v>
      </c>
      <c r="D358" s="90" t="s">
        <v>72</v>
      </c>
      <c r="E358" t="str">
        <f>IFERROR(INDEX(Sheet3!$A$2:$A$30,MATCH(TRUE,ISNUMBER(SEARCH(Sheet3!$A$2:$A$30,D358)),0)),"")</f>
        <v/>
      </c>
    </row>
    <row r="359" spans="2:5" x14ac:dyDescent="0.3">
      <c r="B359" s="87" t="s">
        <v>523</v>
      </c>
      <c r="C359" s="88" t="s">
        <v>820</v>
      </c>
      <c r="D359" s="90" t="s">
        <v>97</v>
      </c>
      <c r="E359" t="str">
        <f>IFERROR(INDEX(Sheet3!$A$2:$A$30,MATCH(TRUE,ISNUMBER(SEARCH(Sheet3!$A$2:$A$30,D359)),0)),"")</f>
        <v/>
      </c>
    </row>
    <row r="360" spans="2:5" x14ac:dyDescent="0.3">
      <c r="B360" s="87" t="s">
        <v>524</v>
      </c>
      <c r="C360" s="88" t="s">
        <v>821</v>
      </c>
      <c r="D360" s="90" t="s">
        <v>82</v>
      </c>
      <c r="E360" t="str">
        <f>IFERROR(INDEX(Sheet3!$A$2:$A$30,MATCH(TRUE,ISNUMBER(SEARCH(Sheet3!$A$2:$A$30,D360)),0)),"")</f>
        <v/>
      </c>
    </row>
    <row r="361" spans="2:5" x14ac:dyDescent="0.3">
      <c r="B361" s="87" t="s">
        <v>525</v>
      </c>
      <c r="C361" s="88" t="s">
        <v>821</v>
      </c>
      <c r="D361" s="90" t="s">
        <v>835</v>
      </c>
      <c r="E361" t="str">
        <f>IFERROR(INDEX(Sheet3!$A$2:$A$30,MATCH(TRUE,ISNUMBER(SEARCH(Sheet3!$A$2:$A$30,D361)),0)),"")</f>
        <v/>
      </c>
    </row>
    <row r="362" spans="2:5" x14ac:dyDescent="0.3">
      <c r="B362" s="87" t="s">
        <v>526</v>
      </c>
      <c r="C362" s="88" t="s">
        <v>821</v>
      </c>
      <c r="D362" s="90" t="s">
        <v>841</v>
      </c>
      <c r="E362" t="str">
        <f>IFERROR(INDEX(Sheet3!$A$2:$A$30,MATCH(TRUE,ISNUMBER(SEARCH(Sheet3!$A$2:$A$30,D362)),0)),"")</f>
        <v/>
      </c>
    </row>
    <row r="363" spans="2:5" x14ac:dyDescent="0.3">
      <c r="B363" s="87" t="s">
        <v>527</v>
      </c>
      <c r="C363" s="88" t="s">
        <v>821</v>
      </c>
      <c r="D363" s="90" t="s">
        <v>842</v>
      </c>
      <c r="E363" t="str">
        <f>IFERROR(INDEX(Sheet3!$A$2:$A$30,MATCH(TRUE,ISNUMBER(SEARCH(Sheet3!$A$2:$A$30,D363)),0)),"")</f>
        <v/>
      </c>
    </row>
    <row r="364" spans="2:5" x14ac:dyDescent="0.3">
      <c r="B364" s="87" t="s">
        <v>528</v>
      </c>
      <c r="C364" s="88" t="s">
        <v>821</v>
      </c>
      <c r="D364" s="90" t="s">
        <v>69</v>
      </c>
      <c r="E364" t="str">
        <f>IFERROR(INDEX(Sheet3!$A$2:$A$30,MATCH(TRUE,ISNUMBER(SEARCH(Sheet3!$A$2:$A$30,D364)),0)),"")</f>
        <v/>
      </c>
    </row>
    <row r="365" spans="2:5" x14ac:dyDescent="0.3">
      <c r="B365" s="87" t="s">
        <v>529</v>
      </c>
      <c r="C365" s="88" t="s">
        <v>821</v>
      </c>
      <c r="D365" s="90" t="s">
        <v>110</v>
      </c>
      <c r="E365" t="str">
        <f>IFERROR(INDEX(Sheet3!$A$2:$A$30,MATCH(TRUE,ISNUMBER(SEARCH(Sheet3!$A$2:$A$30,D365)),0)),"")</f>
        <v/>
      </c>
    </row>
    <row r="366" spans="2:5" x14ac:dyDescent="0.3">
      <c r="B366" s="87" t="s">
        <v>530</v>
      </c>
      <c r="C366" s="88" t="s">
        <v>821</v>
      </c>
      <c r="D366" s="90" t="s">
        <v>837</v>
      </c>
      <c r="E366" t="str">
        <f>IFERROR(INDEX(Sheet3!$A$2:$A$30,MATCH(TRUE,ISNUMBER(SEARCH(Sheet3!$A$2:$A$30,D366)),0)),"")</f>
        <v/>
      </c>
    </row>
    <row r="367" spans="2:5" x14ac:dyDescent="0.3">
      <c r="B367" s="87" t="s">
        <v>531</v>
      </c>
      <c r="C367" s="88" t="s">
        <v>821</v>
      </c>
      <c r="D367" s="90" t="s">
        <v>835</v>
      </c>
      <c r="E367" t="str">
        <f>IFERROR(INDEX(Sheet3!$A$2:$A$30,MATCH(TRUE,ISNUMBER(SEARCH(Sheet3!$A$2:$A$30,D367)),0)),"")</f>
        <v/>
      </c>
    </row>
    <row r="368" spans="2:5" x14ac:dyDescent="0.3">
      <c r="B368" s="87" t="s">
        <v>532</v>
      </c>
      <c r="C368" s="88" t="s">
        <v>821</v>
      </c>
      <c r="D368" s="90" t="s">
        <v>75</v>
      </c>
      <c r="E368" t="str">
        <f>IFERROR(INDEX(Sheet3!$A$2:$A$30,MATCH(TRUE,ISNUMBER(SEARCH(Sheet3!$A$2:$A$30,D368)),0)),"")</f>
        <v/>
      </c>
    </row>
    <row r="369" spans="2:5" x14ac:dyDescent="0.3">
      <c r="B369" s="87" t="s">
        <v>533</v>
      </c>
      <c r="C369" s="88" t="s">
        <v>821</v>
      </c>
      <c r="D369" s="90" t="s">
        <v>836</v>
      </c>
      <c r="E369" t="str">
        <f>IFERROR(INDEX(Sheet3!$A$2:$A$30,MATCH(TRUE,ISNUMBER(SEARCH(Sheet3!$A$2:$A$30,D369)),0)),"")</f>
        <v/>
      </c>
    </row>
    <row r="370" spans="2:5" x14ac:dyDescent="0.3">
      <c r="B370" s="87" t="s">
        <v>534</v>
      </c>
      <c r="C370" s="88" t="s">
        <v>821</v>
      </c>
      <c r="D370" s="90" t="s">
        <v>3</v>
      </c>
      <c r="E370" t="str">
        <f>IFERROR(INDEX(Sheet3!$A$2:$A$30,MATCH(TRUE,ISNUMBER(SEARCH(Sheet3!$A$2:$A$30,D370)),0)),"")</f>
        <v/>
      </c>
    </row>
    <row r="371" spans="2:5" x14ac:dyDescent="0.3">
      <c r="B371" s="87" t="s">
        <v>535</v>
      </c>
      <c r="C371" s="88" t="s">
        <v>821</v>
      </c>
      <c r="D371" s="90" t="s">
        <v>839</v>
      </c>
      <c r="E371" t="str">
        <f>IFERROR(INDEX(Sheet3!$A$2:$A$30,MATCH(TRUE,ISNUMBER(SEARCH(Sheet3!$A$2:$A$30,D371)),0)),"")</f>
        <v/>
      </c>
    </row>
    <row r="372" spans="2:5" x14ac:dyDescent="0.3">
      <c r="B372" s="87" t="s">
        <v>536</v>
      </c>
      <c r="C372" s="88" t="s">
        <v>821</v>
      </c>
      <c r="D372" s="90" t="s">
        <v>839</v>
      </c>
      <c r="E372" t="str">
        <f>IFERROR(INDEX(Sheet3!$A$2:$A$30,MATCH(TRUE,ISNUMBER(SEARCH(Sheet3!$A$2:$A$30,D372)),0)),"")</f>
        <v/>
      </c>
    </row>
    <row r="373" spans="2:5" x14ac:dyDescent="0.3">
      <c r="B373" s="87" t="s">
        <v>537</v>
      </c>
      <c r="C373" s="88" t="s">
        <v>821</v>
      </c>
      <c r="D373" s="90" t="s">
        <v>109</v>
      </c>
      <c r="E373" t="str">
        <f>IFERROR(INDEX(Sheet3!$A$2:$A$30,MATCH(TRUE,ISNUMBER(SEARCH(Sheet3!$A$2:$A$30,D373)),0)),"")</f>
        <v/>
      </c>
    </row>
    <row r="374" spans="2:5" x14ac:dyDescent="0.3">
      <c r="B374" s="87" t="s">
        <v>538</v>
      </c>
      <c r="C374" s="88" t="s">
        <v>821</v>
      </c>
      <c r="D374" s="90" t="s">
        <v>832</v>
      </c>
      <c r="E374" t="str">
        <f>IFERROR(INDEX(Sheet3!$A$2:$A$30,MATCH(TRUE,ISNUMBER(SEARCH(Sheet3!$A$2:$A$30,D374)),0)),"")</f>
        <v/>
      </c>
    </row>
    <row r="375" spans="2:5" x14ac:dyDescent="0.3">
      <c r="B375" s="87" t="s">
        <v>539</v>
      </c>
      <c r="C375" s="88" t="s">
        <v>821</v>
      </c>
      <c r="D375" s="90" t="s">
        <v>82</v>
      </c>
      <c r="E375" t="str">
        <f>IFERROR(INDEX(Sheet3!$A$2:$A$30,MATCH(TRUE,ISNUMBER(SEARCH(Sheet3!$A$2:$A$30,D375)),0)),"")</f>
        <v/>
      </c>
    </row>
    <row r="376" spans="2:5" x14ac:dyDescent="0.3">
      <c r="B376" s="87" t="s">
        <v>540</v>
      </c>
      <c r="C376" s="88" t="s">
        <v>821</v>
      </c>
      <c r="D376" s="90" t="s">
        <v>40</v>
      </c>
      <c r="E376" t="str">
        <f>IFERROR(INDEX(Sheet3!$A$2:$A$30,MATCH(TRUE,ISNUMBER(SEARCH(Sheet3!$A$2:$A$30,D376)),0)),"")</f>
        <v/>
      </c>
    </row>
    <row r="377" spans="2:5" x14ac:dyDescent="0.3">
      <c r="B377" s="87" t="s">
        <v>541</v>
      </c>
      <c r="C377" s="88" t="s">
        <v>821</v>
      </c>
      <c r="D377" s="90" t="s">
        <v>832</v>
      </c>
      <c r="E377" t="str">
        <f>IFERROR(INDEX(Sheet3!$A$2:$A$30,MATCH(TRUE,ISNUMBER(SEARCH(Sheet3!$A$2:$A$30,D377)),0)),"")</f>
        <v/>
      </c>
    </row>
    <row r="378" spans="2:5" x14ac:dyDescent="0.3">
      <c r="B378" s="87" t="s">
        <v>542</v>
      </c>
      <c r="C378" s="88" t="s">
        <v>821</v>
      </c>
      <c r="D378" s="90" t="s">
        <v>832</v>
      </c>
      <c r="E378" t="str">
        <f>IFERROR(INDEX(Sheet3!$A$2:$A$30,MATCH(TRUE,ISNUMBER(SEARCH(Sheet3!$A$2:$A$30,D378)),0)),"")</f>
        <v/>
      </c>
    </row>
    <row r="379" spans="2:5" x14ac:dyDescent="0.3">
      <c r="B379" s="87" t="s">
        <v>543</v>
      </c>
      <c r="C379" s="88" t="s">
        <v>821</v>
      </c>
      <c r="D379" s="90" t="s">
        <v>69</v>
      </c>
      <c r="E379" t="str">
        <f>IFERROR(INDEX(Sheet3!$A$2:$A$30,MATCH(TRUE,ISNUMBER(SEARCH(Sheet3!$A$2:$A$30,D379)),0)),"")</f>
        <v/>
      </c>
    </row>
    <row r="380" spans="2:5" x14ac:dyDescent="0.3">
      <c r="B380" s="87" t="s">
        <v>544</v>
      </c>
      <c r="C380" s="88" t="s">
        <v>821</v>
      </c>
      <c r="D380" s="90" t="s">
        <v>840</v>
      </c>
      <c r="E380" t="str">
        <f>IFERROR(INDEX(Sheet3!$A$2:$A$30,MATCH(TRUE,ISNUMBER(SEARCH(Sheet3!$A$2:$A$30,D380)),0)),"")</f>
        <v/>
      </c>
    </row>
    <row r="381" spans="2:5" x14ac:dyDescent="0.3">
      <c r="B381" s="87" t="s">
        <v>545</v>
      </c>
      <c r="C381" s="88" t="s">
        <v>821</v>
      </c>
      <c r="D381" s="90" t="s">
        <v>832</v>
      </c>
      <c r="E381" t="str">
        <f>IFERROR(INDEX(Sheet3!$A$2:$A$30,MATCH(TRUE,ISNUMBER(SEARCH(Sheet3!$A$2:$A$30,D381)),0)),"")</f>
        <v/>
      </c>
    </row>
    <row r="382" spans="2:5" x14ac:dyDescent="0.3">
      <c r="B382" s="87" t="s">
        <v>546</v>
      </c>
      <c r="C382" s="88" t="s">
        <v>821</v>
      </c>
      <c r="D382" s="90" t="s">
        <v>842</v>
      </c>
      <c r="E382" t="str">
        <f>IFERROR(INDEX(Sheet3!$A$2:$A$30,MATCH(TRUE,ISNUMBER(SEARCH(Sheet3!$A$2:$A$30,D382)),0)),"")</f>
        <v/>
      </c>
    </row>
    <row r="383" spans="2:5" x14ac:dyDescent="0.3">
      <c r="B383" s="87" t="s">
        <v>547</v>
      </c>
      <c r="C383" s="88" t="s">
        <v>821</v>
      </c>
      <c r="D383" s="90" t="s">
        <v>101</v>
      </c>
      <c r="E383" t="str">
        <f>IFERROR(INDEX(Sheet3!$A$2:$A$30,MATCH(TRUE,ISNUMBER(SEARCH(Sheet3!$A$2:$A$30,D383)),0)),"")</f>
        <v/>
      </c>
    </row>
    <row r="384" spans="2:5" x14ac:dyDescent="0.3">
      <c r="B384" s="87" t="s">
        <v>548</v>
      </c>
      <c r="C384" s="88" t="s">
        <v>821</v>
      </c>
      <c r="D384" s="90" t="s">
        <v>837</v>
      </c>
      <c r="E384" t="str">
        <f>IFERROR(INDEX(Sheet3!$A$2:$A$30,MATCH(TRUE,ISNUMBER(SEARCH(Sheet3!$A$2:$A$30,D384)),0)),"")</f>
        <v/>
      </c>
    </row>
    <row r="385" spans="2:5" x14ac:dyDescent="0.3">
      <c r="B385" s="87" t="s">
        <v>548</v>
      </c>
      <c r="C385" s="88" t="s">
        <v>821</v>
      </c>
      <c r="D385" s="90" t="s">
        <v>837</v>
      </c>
      <c r="E385" t="str">
        <f>IFERROR(INDEX(Sheet3!$A$2:$A$30,MATCH(TRUE,ISNUMBER(SEARCH(Sheet3!$A$2:$A$30,D385)),0)),"")</f>
        <v/>
      </c>
    </row>
    <row r="386" spans="2:5" x14ac:dyDescent="0.3">
      <c r="B386" s="87" t="s">
        <v>549</v>
      </c>
      <c r="C386" s="88" t="s">
        <v>821</v>
      </c>
      <c r="D386" s="90" t="s">
        <v>96</v>
      </c>
      <c r="E386" t="str">
        <f>IFERROR(INDEX(Sheet3!$A$2:$A$30,MATCH(TRUE,ISNUMBER(SEARCH(Sheet3!$A$2:$A$30,D386)),0)),"")</f>
        <v/>
      </c>
    </row>
    <row r="387" spans="2:5" x14ac:dyDescent="0.3">
      <c r="B387" s="87" t="s">
        <v>550</v>
      </c>
      <c r="C387" s="88" t="s">
        <v>821</v>
      </c>
      <c r="D387" s="90" t="s">
        <v>96</v>
      </c>
      <c r="E387" t="str">
        <f>IFERROR(INDEX(Sheet3!$A$2:$A$30,MATCH(TRUE,ISNUMBER(SEARCH(Sheet3!$A$2:$A$30,D387)),0)),"")</f>
        <v/>
      </c>
    </row>
    <row r="388" spans="2:5" x14ac:dyDescent="0.3">
      <c r="B388" s="87" t="s">
        <v>551</v>
      </c>
      <c r="C388" s="88" t="s">
        <v>821</v>
      </c>
      <c r="D388" s="90" t="s">
        <v>837</v>
      </c>
      <c r="E388" t="str">
        <f>IFERROR(INDEX(Sheet3!$A$2:$A$30,MATCH(TRUE,ISNUMBER(SEARCH(Sheet3!$A$2:$A$30,D388)),0)),"")</f>
        <v/>
      </c>
    </row>
    <row r="389" spans="2:5" x14ac:dyDescent="0.3">
      <c r="B389" s="87" t="s">
        <v>552</v>
      </c>
      <c r="C389" s="88" t="s">
        <v>821</v>
      </c>
      <c r="D389" s="90" t="s">
        <v>82</v>
      </c>
      <c r="E389" t="str">
        <f>IFERROR(INDEX(Sheet3!$A$2:$A$30,MATCH(TRUE,ISNUMBER(SEARCH(Sheet3!$A$2:$A$30,D389)),0)),"")</f>
        <v/>
      </c>
    </row>
    <row r="390" spans="2:5" x14ac:dyDescent="0.3">
      <c r="B390" s="87" t="s">
        <v>553</v>
      </c>
      <c r="C390" s="88" t="s">
        <v>821</v>
      </c>
      <c r="D390" s="90" t="s">
        <v>835</v>
      </c>
      <c r="E390" t="str">
        <f>IFERROR(INDEX(Sheet3!$A$2:$A$30,MATCH(TRUE,ISNUMBER(SEARCH(Sheet3!$A$2:$A$30,D390)),0)),"")</f>
        <v/>
      </c>
    </row>
    <row r="391" spans="2:5" x14ac:dyDescent="0.3">
      <c r="B391" s="87" t="s">
        <v>554</v>
      </c>
      <c r="C391" s="88" t="s">
        <v>821</v>
      </c>
      <c r="D391" s="90" t="s">
        <v>837</v>
      </c>
      <c r="E391" t="str">
        <f>IFERROR(INDEX(Sheet3!$A$2:$A$30,MATCH(TRUE,ISNUMBER(SEARCH(Sheet3!$A$2:$A$30,D391)),0)),"")</f>
        <v/>
      </c>
    </row>
    <row r="392" spans="2:5" x14ac:dyDescent="0.3">
      <c r="B392" s="87" t="s">
        <v>555</v>
      </c>
      <c r="C392" s="88" t="s">
        <v>821</v>
      </c>
      <c r="D392" s="90" t="s">
        <v>832</v>
      </c>
      <c r="E392" t="str">
        <f>IFERROR(INDEX(Sheet3!$A$2:$A$30,MATCH(TRUE,ISNUMBER(SEARCH(Sheet3!$A$2:$A$30,D392)),0)),"")</f>
        <v/>
      </c>
    </row>
    <row r="393" spans="2:5" x14ac:dyDescent="0.3">
      <c r="B393" s="87" t="s">
        <v>556</v>
      </c>
      <c r="C393" s="88" t="s">
        <v>822</v>
      </c>
      <c r="D393" s="90" t="s">
        <v>836</v>
      </c>
      <c r="E393" t="str">
        <f>IFERROR(INDEX(Sheet3!$A$2:$A$30,MATCH(TRUE,ISNUMBER(SEARCH(Sheet3!$A$2:$A$30,D393)),0)),"")</f>
        <v/>
      </c>
    </row>
    <row r="394" spans="2:5" x14ac:dyDescent="0.3">
      <c r="B394" s="87" t="s">
        <v>557</v>
      </c>
      <c r="C394" s="88" t="s">
        <v>822</v>
      </c>
      <c r="D394" s="90" t="s">
        <v>3</v>
      </c>
      <c r="E394" t="str">
        <f>IFERROR(INDEX(Sheet3!$A$2:$A$30,MATCH(TRUE,ISNUMBER(SEARCH(Sheet3!$A$2:$A$30,D394)),0)),"")</f>
        <v/>
      </c>
    </row>
    <row r="395" spans="2:5" x14ac:dyDescent="0.3">
      <c r="B395" s="87" t="s">
        <v>558</v>
      </c>
      <c r="C395" s="88" t="s">
        <v>822</v>
      </c>
      <c r="D395" s="90" t="s">
        <v>839</v>
      </c>
      <c r="E395" t="str">
        <f>IFERROR(INDEX(Sheet3!$A$2:$A$30,MATCH(TRUE,ISNUMBER(SEARCH(Sheet3!$A$2:$A$30,D395)),0)),"")</f>
        <v/>
      </c>
    </row>
    <row r="396" spans="2:5" x14ac:dyDescent="0.3">
      <c r="B396" s="87" t="s">
        <v>559</v>
      </c>
      <c r="C396" s="88" t="s">
        <v>822</v>
      </c>
      <c r="D396" s="90" t="s">
        <v>835</v>
      </c>
      <c r="E396" t="str">
        <f>IFERROR(INDEX(Sheet3!$A$2:$A$30,MATCH(TRUE,ISNUMBER(SEARCH(Sheet3!$A$2:$A$30,D396)),0)),"")</f>
        <v/>
      </c>
    </row>
    <row r="397" spans="2:5" x14ac:dyDescent="0.3">
      <c r="B397" s="87" t="s">
        <v>560</v>
      </c>
      <c r="C397" s="88" t="s">
        <v>822</v>
      </c>
      <c r="D397" s="90" t="s">
        <v>69</v>
      </c>
      <c r="E397" t="str">
        <f>IFERROR(INDEX(Sheet3!$A$2:$A$30,MATCH(TRUE,ISNUMBER(SEARCH(Sheet3!$A$2:$A$30,D397)),0)),"")</f>
        <v/>
      </c>
    </row>
    <row r="398" spans="2:5" x14ac:dyDescent="0.3">
      <c r="B398" s="87" t="s">
        <v>561</v>
      </c>
      <c r="C398" s="88" t="s">
        <v>822</v>
      </c>
      <c r="D398" s="90" t="s">
        <v>29</v>
      </c>
      <c r="E398" t="str">
        <f>IFERROR(INDEX(Sheet3!$A$2:$A$30,MATCH(TRUE,ISNUMBER(SEARCH(Sheet3!$A$2:$A$30,D398)),0)),"")</f>
        <v/>
      </c>
    </row>
    <row r="399" spans="2:5" x14ac:dyDescent="0.3">
      <c r="B399" s="87" t="s">
        <v>562</v>
      </c>
      <c r="C399" s="88" t="s">
        <v>822</v>
      </c>
      <c r="D399" s="90" t="s">
        <v>75</v>
      </c>
      <c r="E399" t="str">
        <f>IFERROR(INDEX(Sheet3!$A$2:$A$30,MATCH(TRUE,ISNUMBER(SEARCH(Sheet3!$A$2:$A$30,D399)),0)),"")</f>
        <v/>
      </c>
    </row>
    <row r="400" spans="2:5" x14ac:dyDescent="0.3">
      <c r="B400" s="87" t="s">
        <v>563</v>
      </c>
      <c r="C400" s="88" t="s">
        <v>822</v>
      </c>
      <c r="D400" s="90" t="s">
        <v>837</v>
      </c>
      <c r="E400" t="str">
        <f>IFERROR(INDEX(Sheet3!$A$2:$A$30,MATCH(TRUE,ISNUMBER(SEARCH(Sheet3!$A$2:$A$30,D400)),0)),"")</f>
        <v/>
      </c>
    </row>
    <row r="401" spans="2:5" x14ac:dyDescent="0.3">
      <c r="B401" s="87" t="s">
        <v>564</v>
      </c>
      <c r="C401" s="88" t="s">
        <v>822</v>
      </c>
      <c r="D401" s="90" t="s">
        <v>82</v>
      </c>
      <c r="E401" t="str">
        <f>IFERROR(INDEX(Sheet3!$A$2:$A$30,MATCH(TRUE,ISNUMBER(SEARCH(Sheet3!$A$2:$A$30,D401)),0)),"")</f>
        <v/>
      </c>
    </row>
    <row r="402" spans="2:5" x14ac:dyDescent="0.3">
      <c r="B402" s="87" t="s">
        <v>565</v>
      </c>
      <c r="C402" s="88" t="s">
        <v>822</v>
      </c>
      <c r="D402" s="90" t="s">
        <v>836</v>
      </c>
      <c r="E402" t="str">
        <f>IFERROR(INDEX(Sheet3!$A$2:$A$30,MATCH(TRUE,ISNUMBER(SEARCH(Sheet3!$A$2:$A$30,D402)),0)),"")</f>
        <v/>
      </c>
    </row>
    <row r="403" spans="2:5" x14ac:dyDescent="0.3">
      <c r="B403" s="87" t="s">
        <v>566</v>
      </c>
      <c r="C403" s="88" t="s">
        <v>822</v>
      </c>
      <c r="D403" s="90" t="s">
        <v>840</v>
      </c>
      <c r="E403" t="str">
        <f>IFERROR(INDEX(Sheet3!$A$2:$A$30,MATCH(TRUE,ISNUMBER(SEARCH(Sheet3!$A$2:$A$30,D403)),0)),"")</f>
        <v/>
      </c>
    </row>
    <row r="404" spans="2:5" x14ac:dyDescent="0.3">
      <c r="B404" s="87" t="s">
        <v>567</v>
      </c>
      <c r="C404" s="88" t="s">
        <v>822</v>
      </c>
      <c r="D404" s="90" t="s">
        <v>3</v>
      </c>
      <c r="E404" t="str">
        <f>IFERROR(INDEX(Sheet3!$A$2:$A$30,MATCH(TRUE,ISNUMBER(SEARCH(Sheet3!$A$2:$A$30,D404)),0)),"")</f>
        <v/>
      </c>
    </row>
    <row r="405" spans="2:5" x14ac:dyDescent="0.3">
      <c r="B405" s="87" t="s">
        <v>568</v>
      </c>
      <c r="C405" s="88" t="s">
        <v>822</v>
      </c>
      <c r="D405" s="90" t="s">
        <v>97</v>
      </c>
      <c r="E405" t="str">
        <f>IFERROR(INDEX(Sheet3!$A$2:$A$30,MATCH(TRUE,ISNUMBER(SEARCH(Sheet3!$A$2:$A$30,D405)),0)),"")</f>
        <v/>
      </c>
    </row>
    <row r="406" spans="2:5" x14ac:dyDescent="0.3">
      <c r="B406" s="87" t="s">
        <v>569</v>
      </c>
      <c r="C406" s="88" t="s">
        <v>822</v>
      </c>
      <c r="D406" s="90" t="s">
        <v>37</v>
      </c>
      <c r="E406" t="str">
        <f>IFERROR(INDEX(Sheet3!$A$2:$A$30,MATCH(TRUE,ISNUMBER(SEARCH(Sheet3!$A$2:$A$30,D406)),0)),"")</f>
        <v/>
      </c>
    </row>
    <row r="407" spans="2:5" x14ac:dyDescent="0.3">
      <c r="B407" s="87" t="s">
        <v>570</v>
      </c>
      <c r="C407" s="88" t="s">
        <v>822</v>
      </c>
      <c r="D407" s="90" t="s">
        <v>82</v>
      </c>
      <c r="E407" t="str">
        <f>IFERROR(INDEX(Sheet3!$A$2:$A$30,MATCH(TRUE,ISNUMBER(SEARCH(Sheet3!$A$2:$A$30,D407)),0)),"")</f>
        <v/>
      </c>
    </row>
    <row r="408" spans="2:5" x14ac:dyDescent="0.3">
      <c r="B408" s="87" t="s">
        <v>571</v>
      </c>
      <c r="C408" s="88" t="s">
        <v>822</v>
      </c>
      <c r="D408" s="90" t="s">
        <v>82</v>
      </c>
      <c r="E408" t="str">
        <f>IFERROR(INDEX(Sheet3!$A$2:$A$30,MATCH(TRUE,ISNUMBER(SEARCH(Sheet3!$A$2:$A$30,D408)),0)),"")</f>
        <v/>
      </c>
    </row>
    <row r="409" spans="2:5" x14ac:dyDescent="0.3">
      <c r="B409" s="87" t="s">
        <v>572</v>
      </c>
      <c r="C409" s="88" t="s">
        <v>822</v>
      </c>
      <c r="D409" s="90" t="s">
        <v>99</v>
      </c>
      <c r="E409" t="str">
        <f>IFERROR(INDEX(Sheet3!$A$2:$A$30,MATCH(TRUE,ISNUMBER(SEARCH(Sheet3!$A$2:$A$30,D409)),0)),"")</f>
        <v/>
      </c>
    </row>
    <row r="410" spans="2:5" x14ac:dyDescent="0.3">
      <c r="B410" s="87" t="s">
        <v>573</v>
      </c>
      <c r="C410" s="88" t="s">
        <v>822</v>
      </c>
      <c r="D410" s="90" t="s">
        <v>80</v>
      </c>
      <c r="E410" t="str">
        <f>IFERROR(INDEX(Sheet3!$A$2:$A$30,MATCH(TRUE,ISNUMBER(SEARCH(Sheet3!$A$2:$A$30,D410)),0)),"")</f>
        <v/>
      </c>
    </row>
    <row r="411" spans="2:5" x14ac:dyDescent="0.3">
      <c r="B411" s="87" t="s">
        <v>574</v>
      </c>
      <c r="C411" s="88" t="s">
        <v>822</v>
      </c>
      <c r="D411" s="90" t="s">
        <v>3</v>
      </c>
      <c r="E411" t="str">
        <f>IFERROR(INDEX(Sheet3!$A$2:$A$30,MATCH(TRUE,ISNUMBER(SEARCH(Sheet3!$A$2:$A$30,D411)),0)),"")</f>
        <v/>
      </c>
    </row>
    <row r="412" spans="2:5" x14ac:dyDescent="0.3">
      <c r="B412" s="87" t="s">
        <v>575</v>
      </c>
      <c r="C412" s="88" t="s">
        <v>822</v>
      </c>
      <c r="D412" s="90" t="s">
        <v>97</v>
      </c>
      <c r="E412" t="str">
        <f>IFERROR(INDEX(Sheet3!$A$2:$A$30,MATCH(TRUE,ISNUMBER(SEARCH(Sheet3!$A$2:$A$30,D412)),0)),"")</f>
        <v/>
      </c>
    </row>
    <row r="413" spans="2:5" x14ac:dyDescent="0.3">
      <c r="B413" s="87" t="s">
        <v>576</v>
      </c>
      <c r="C413" s="88" t="s">
        <v>822</v>
      </c>
      <c r="D413" s="90" t="s">
        <v>838</v>
      </c>
      <c r="E413" t="str">
        <f>IFERROR(INDEX(Sheet3!$A$2:$A$30,MATCH(TRUE,ISNUMBER(SEARCH(Sheet3!$A$2:$A$30,D413)),0)),"")</f>
        <v/>
      </c>
    </row>
    <row r="414" spans="2:5" x14ac:dyDescent="0.3">
      <c r="B414" s="87" t="s">
        <v>577</v>
      </c>
      <c r="C414" s="88" t="s">
        <v>822</v>
      </c>
      <c r="D414" s="90" t="s">
        <v>69</v>
      </c>
      <c r="E414" t="str">
        <f>IFERROR(INDEX(Sheet3!$A$2:$A$30,MATCH(TRUE,ISNUMBER(SEARCH(Sheet3!$A$2:$A$30,D414)),0)),"")</f>
        <v/>
      </c>
    </row>
    <row r="415" spans="2:5" x14ac:dyDescent="0.3">
      <c r="B415" s="87" t="s">
        <v>578</v>
      </c>
      <c r="C415" s="88" t="s">
        <v>822</v>
      </c>
      <c r="D415" s="90" t="s">
        <v>98</v>
      </c>
      <c r="E415" t="str">
        <f>IFERROR(INDEX(Sheet3!$A$2:$A$30,MATCH(TRUE,ISNUMBER(SEARCH(Sheet3!$A$2:$A$30,D415)),0)),"")</f>
        <v/>
      </c>
    </row>
    <row r="416" spans="2:5" x14ac:dyDescent="0.3">
      <c r="B416" s="87" t="s">
        <v>579</v>
      </c>
      <c r="C416" s="88" t="s">
        <v>822</v>
      </c>
      <c r="D416" s="90" t="s">
        <v>97</v>
      </c>
      <c r="E416" t="str">
        <f>IFERROR(INDEX(Sheet3!$A$2:$A$30,MATCH(TRUE,ISNUMBER(SEARCH(Sheet3!$A$2:$A$30,D416)),0)),"")</f>
        <v/>
      </c>
    </row>
    <row r="417" spans="2:5" x14ac:dyDescent="0.3">
      <c r="B417" s="87" t="s">
        <v>580</v>
      </c>
      <c r="C417" s="88" t="s">
        <v>822</v>
      </c>
      <c r="D417" s="90" t="s">
        <v>835</v>
      </c>
      <c r="E417" t="str">
        <f>IFERROR(INDEX(Sheet3!$A$2:$A$30,MATCH(TRUE,ISNUMBER(SEARCH(Sheet3!$A$2:$A$30,D417)),0)),"")</f>
        <v/>
      </c>
    </row>
    <row r="418" spans="2:5" x14ac:dyDescent="0.3">
      <c r="B418" s="87" t="s">
        <v>581</v>
      </c>
      <c r="C418" s="88" t="s">
        <v>822</v>
      </c>
      <c r="D418" s="90" t="s">
        <v>99</v>
      </c>
      <c r="E418" t="str">
        <f>IFERROR(INDEX(Sheet3!$A$2:$A$30,MATCH(TRUE,ISNUMBER(SEARCH(Sheet3!$A$2:$A$30,D418)),0)),"")</f>
        <v/>
      </c>
    </row>
    <row r="419" spans="2:5" x14ac:dyDescent="0.3">
      <c r="B419" s="87" t="s">
        <v>582</v>
      </c>
      <c r="C419" s="88" t="s">
        <v>822</v>
      </c>
      <c r="D419" s="90" t="s">
        <v>837</v>
      </c>
      <c r="E419" t="str">
        <f>IFERROR(INDEX(Sheet3!$A$2:$A$30,MATCH(TRUE,ISNUMBER(SEARCH(Sheet3!$A$2:$A$30,D419)),0)),"")</f>
        <v/>
      </c>
    </row>
    <row r="420" spans="2:5" x14ac:dyDescent="0.3">
      <c r="B420" s="87" t="s">
        <v>583</v>
      </c>
      <c r="C420" s="88" t="s">
        <v>822</v>
      </c>
      <c r="D420" s="90" t="s">
        <v>72</v>
      </c>
      <c r="E420" t="str">
        <f>IFERROR(INDEX(Sheet3!$A$2:$A$30,MATCH(TRUE,ISNUMBER(SEARCH(Sheet3!$A$2:$A$30,D420)),0)),"")</f>
        <v/>
      </c>
    </row>
    <row r="421" spans="2:5" x14ac:dyDescent="0.3">
      <c r="B421" s="87" t="s">
        <v>584</v>
      </c>
      <c r="C421" s="88" t="s">
        <v>822</v>
      </c>
      <c r="D421" s="90" t="s">
        <v>69</v>
      </c>
      <c r="E421" t="str">
        <f>IFERROR(INDEX(Sheet3!$A$2:$A$30,MATCH(TRUE,ISNUMBER(SEARCH(Sheet3!$A$2:$A$30,D421)),0)),"")</f>
        <v/>
      </c>
    </row>
    <row r="422" spans="2:5" x14ac:dyDescent="0.3">
      <c r="B422" s="87" t="s">
        <v>585</v>
      </c>
      <c r="C422" s="88" t="s">
        <v>822</v>
      </c>
      <c r="D422" s="90" t="s">
        <v>82</v>
      </c>
      <c r="E422" t="str">
        <f>IFERROR(INDEX(Sheet3!$A$2:$A$30,MATCH(TRUE,ISNUMBER(SEARCH(Sheet3!$A$2:$A$30,D422)),0)),"")</f>
        <v/>
      </c>
    </row>
    <row r="423" spans="2:5" x14ac:dyDescent="0.3">
      <c r="B423" s="87" t="s">
        <v>586</v>
      </c>
      <c r="C423" s="88" t="s">
        <v>822</v>
      </c>
      <c r="D423" s="90" t="s">
        <v>37</v>
      </c>
      <c r="E423" t="str">
        <f>IFERROR(INDEX(Sheet3!$A$2:$A$30,MATCH(TRUE,ISNUMBER(SEARCH(Sheet3!$A$2:$A$30,D423)),0)),"")</f>
        <v/>
      </c>
    </row>
    <row r="424" spans="2:5" x14ac:dyDescent="0.3">
      <c r="B424" s="87" t="s">
        <v>587</v>
      </c>
      <c r="C424" s="88" t="s">
        <v>823</v>
      </c>
      <c r="D424" s="90" t="s">
        <v>29</v>
      </c>
      <c r="E424" t="str">
        <f>IFERROR(INDEX(Sheet3!$A$2:$A$30,MATCH(TRUE,ISNUMBER(SEARCH(Sheet3!$A$2:$A$30,D424)),0)),"")</f>
        <v/>
      </c>
    </row>
    <row r="425" spans="2:5" x14ac:dyDescent="0.3">
      <c r="B425" s="87" t="s">
        <v>588</v>
      </c>
      <c r="C425" s="88" t="s">
        <v>823</v>
      </c>
      <c r="D425" s="90" t="s">
        <v>37</v>
      </c>
      <c r="E425" t="str">
        <f>IFERROR(INDEX(Sheet3!$A$2:$A$30,MATCH(TRUE,ISNUMBER(SEARCH(Sheet3!$A$2:$A$30,D425)),0)),"")</f>
        <v/>
      </c>
    </row>
    <row r="426" spans="2:5" x14ac:dyDescent="0.3">
      <c r="B426" s="87" t="s">
        <v>589</v>
      </c>
      <c r="C426" s="88" t="s">
        <v>823</v>
      </c>
      <c r="D426" s="90" t="s">
        <v>37</v>
      </c>
      <c r="E426" t="str">
        <f>IFERROR(INDEX(Sheet3!$A$2:$A$30,MATCH(TRUE,ISNUMBER(SEARCH(Sheet3!$A$2:$A$30,D426)),0)),"")</f>
        <v/>
      </c>
    </row>
    <row r="427" spans="2:5" x14ac:dyDescent="0.3">
      <c r="B427" s="87" t="s">
        <v>590</v>
      </c>
      <c r="C427" s="88" t="s">
        <v>823</v>
      </c>
      <c r="D427" s="90" t="s">
        <v>837</v>
      </c>
      <c r="E427" t="str">
        <f>IFERROR(INDEX(Sheet3!$A$2:$A$30,MATCH(TRUE,ISNUMBER(SEARCH(Sheet3!$A$2:$A$30,D427)),0)),"")</f>
        <v/>
      </c>
    </row>
    <row r="428" spans="2:5" x14ac:dyDescent="0.3">
      <c r="B428" s="87" t="s">
        <v>591</v>
      </c>
      <c r="C428" s="88" t="s">
        <v>823</v>
      </c>
      <c r="D428" s="90" t="s">
        <v>37</v>
      </c>
      <c r="E428" t="str">
        <f>IFERROR(INDEX(Sheet3!$A$2:$A$30,MATCH(TRUE,ISNUMBER(SEARCH(Sheet3!$A$2:$A$30,D428)),0)),"")</f>
        <v/>
      </c>
    </row>
    <row r="429" spans="2:5" x14ac:dyDescent="0.3">
      <c r="B429" s="87" t="s">
        <v>592</v>
      </c>
      <c r="C429" s="88" t="s">
        <v>823</v>
      </c>
      <c r="D429" s="90" t="s">
        <v>37</v>
      </c>
      <c r="E429" t="str">
        <f>IFERROR(INDEX(Sheet3!$A$2:$A$30,MATCH(TRUE,ISNUMBER(SEARCH(Sheet3!$A$2:$A$30,D429)),0)),"")</f>
        <v/>
      </c>
    </row>
    <row r="430" spans="2:5" x14ac:dyDescent="0.3">
      <c r="B430" s="87" t="s">
        <v>593</v>
      </c>
      <c r="C430" s="88" t="s">
        <v>823</v>
      </c>
      <c r="D430" s="90" t="s">
        <v>839</v>
      </c>
      <c r="E430" t="str">
        <f>IFERROR(INDEX(Sheet3!$A$2:$A$30,MATCH(TRUE,ISNUMBER(SEARCH(Sheet3!$A$2:$A$30,D430)),0)),"")</f>
        <v/>
      </c>
    </row>
    <row r="431" spans="2:5" x14ac:dyDescent="0.3">
      <c r="B431" s="87" t="s">
        <v>594</v>
      </c>
      <c r="C431" s="88" t="s">
        <v>823</v>
      </c>
      <c r="D431" s="90" t="s">
        <v>99</v>
      </c>
      <c r="E431" t="str">
        <f>IFERROR(INDEX(Sheet3!$A$2:$A$30,MATCH(TRUE,ISNUMBER(SEARCH(Sheet3!$A$2:$A$30,D431)),0)),"")</f>
        <v/>
      </c>
    </row>
    <row r="432" spans="2:5" x14ac:dyDescent="0.3">
      <c r="B432" s="87" t="s">
        <v>595</v>
      </c>
      <c r="C432" s="88" t="s">
        <v>823</v>
      </c>
      <c r="D432" s="90" t="s">
        <v>40</v>
      </c>
      <c r="E432" t="str">
        <f>IFERROR(INDEX(Sheet3!$A$2:$A$30,MATCH(TRUE,ISNUMBER(SEARCH(Sheet3!$A$2:$A$30,D432)),0)),"")</f>
        <v/>
      </c>
    </row>
    <row r="433" spans="2:5" x14ac:dyDescent="0.3">
      <c r="B433" s="87" t="s">
        <v>596</v>
      </c>
      <c r="C433" s="88" t="s">
        <v>823</v>
      </c>
      <c r="D433" s="90" t="s">
        <v>82</v>
      </c>
      <c r="E433" t="str">
        <f>IFERROR(INDEX(Sheet3!$A$2:$A$30,MATCH(TRUE,ISNUMBER(SEARCH(Sheet3!$A$2:$A$30,D433)),0)),"")</f>
        <v/>
      </c>
    </row>
    <row r="434" spans="2:5" x14ac:dyDescent="0.3">
      <c r="B434" s="87" t="s">
        <v>597</v>
      </c>
      <c r="C434" s="88" t="s">
        <v>823</v>
      </c>
      <c r="D434" s="90" t="s">
        <v>80</v>
      </c>
      <c r="E434" t="str">
        <f>IFERROR(INDEX(Sheet3!$A$2:$A$30,MATCH(TRUE,ISNUMBER(SEARCH(Sheet3!$A$2:$A$30,D434)),0)),"")</f>
        <v/>
      </c>
    </row>
    <row r="435" spans="2:5" x14ac:dyDescent="0.3">
      <c r="B435" s="87" t="s">
        <v>598</v>
      </c>
      <c r="C435" s="88" t="s">
        <v>823</v>
      </c>
      <c r="D435" s="90" t="s">
        <v>3</v>
      </c>
      <c r="E435" t="str">
        <f>IFERROR(INDEX(Sheet3!$A$2:$A$30,MATCH(TRUE,ISNUMBER(SEARCH(Sheet3!$A$2:$A$30,D435)),0)),"")</f>
        <v/>
      </c>
    </row>
    <row r="436" spans="2:5" x14ac:dyDescent="0.3">
      <c r="B436" s="87" t="s">
        <v>599</v>
      </c>
      <c r="C436" s="88" t="s">
        <v>823</v>
      </c>
      <c r="D436" s="90" t="s">
        <v>37</v>
      </c>
      <c r="E436" t="str">
        <f>IFERROR(INDEX(Sheet3!$A$2:$A$30,MATCH(TRUE,ISNUMBER(SEARCH(Sheet3!$A$2:$A$30,D436)),0)),"")</f>
        <v/>
      </c>
    </row>
    <row r="437" spans="2:5" x14ac:dyDescent="0.3">
      <c r="B437" s="87" t="s">
        <v>600</v>
      </c>
      <c r="C437" s="88" t="s">
        <v>823</v>
      </c>
      <c r="D437" s="90" t="s">
        <v>99</v>
      </c>
      <c r="E437" t="str">
        <f>IFERROR(INDEX(Sheet3!$A$2:$A$30,MATCH(TRUE,ISNUMBER(SEARCH(Sheet3!$A$2:$A$30,D437)),0)),"")</f>
        <v/>
      </c>
    </row>
    <row r="438" spans="2:5" x14ac:dyDescent="0.3">
      <c r="B438" s="87" t="s">
        <v>601</v>
      </c>
      <c r="C438" s="88" t="s">
        <v>823</v>
      </c>
      <c r="D438" s="90" t="s">
        <v>98</v>
      </c>
      <c r="E438" t="str">
        <f>IFERROR(INDEX(Sheet3!$A$2:$A$30,MATCH(TRUE,ISNUMBER(SEARCH(Sheet3!$A$2:$A$30,D438)),0)),"")</f>
        <v/>
      </c>
    </row>
    <row r="439" spans="2:5" x14ac:dyDescent="0.3">
      <c r="B439" s="87" t="s">
        <v>477</v>
      </c>
      <c r="C439" s="88" t="s">
        <v>823</v>
      </c>
      <c r="D439" s="90" t="s">
        <v>837</v>
      </c>
      <c r="E439" t="str">
        <f>IFERROR(INDEX(Sheet3!$A$2:$A$30,MATCH(TRUE,ISNUMBER(SEARCH(Sheet3!$A$2:$A$30,D439)),0)),"")</f>
        <v/>
      </c>
    </row>
    <row r="440" spans="2:5" x14ac:dyDescent="0.3">
      <c r="B440" s="87" t="s">
        <v>602</v>
      </c>
      <c r="C440" s="88" t="s">
        <v>823</v>
      </c>
      <c r="D440" s="90" t="s">
        <v>40</v>
      </c>
      <c r="E440" t="str">
        <f>IFERROR(INDEX(Sheet3!$A$2:$A$30,MATCH(TRUE,ISNUMBER(SEARCH(Sheet3!$A$2:$A$30,D440)),0)),"")</f>
        <v/>
      </c>
    </row>
    <row r="441" spans="2:5" x14ac:dyDescent="0.3">
      <c r="B441" s="87" t="s">
        <v>603</v>
      </c>
      <c r="C441" s="88" t="s">
        <v>823</v>
      </c>
      <c r="D441" s="90" t="s">
        <v>837</v>
      </c>
      <c r="E441" t="str">
        <f>IFERROR(INDEX(Sheet3!$A$2:$A$30,MATCH(TRUE,ISNUMBER(SEARCH(Sheet3!$A$2:$A$30,D441)),0)),"")</f>
        <v/>
      </c>
    </row>
    <row r="442" spans="2:5" x14ac:dyDescent="0.3">
      <c r="B442" s="87" t="s">
        <v>604</v>
      </c>
      <c r="C442" s="88" t="s">
        <v>823</v>
      </c>
      <c r="D442" s="90" t="s">
        <v>97</v>
      </c>
      <c r="E442" t="str">
        <f>IFERROR(INDEX(Sheet3!$A$2:$A$30,MATCH(TRUE,ISNUMBER(SEARCH(Sheet3!$A$2:$A$30,D442)),0)),"")</f>
        <v/>
      </c>
    </row>
    <row r="443" spans="2:5" x14ac:dyDescent="0.3">
      <c r="B443" s="87" t="s">
        <v>605</v>
      </c>
      <c r="C443" s="88" t="s">
        <v>823</v>
      </c>
      <c r="D443" s="90" t="s">
        <v>110</v>
      </c>
      <c r="E443" t="str">
        <f>IFERROR(INDEX(Sheet3!$A$2:$A$30,MATCH(TRUE,ISNUMBER(SEARCH(Sheet3!$A$2:$A$30,D443)),0)),"")</f>
        <v/>
      </c>
    </row>
    <row r="444" spans="2:5" x14ac:dyDescent="0.3">
      <c r="B444" s="87" t="s">
        <v>606</v>
      </c>
      <c r="C444" s="88" t="s">
        <v>823</v>
      </c>
      <c r="D444" s="90" t="s">
        <v>29</v>
      </c>
      <c r="E444" t="str">
        <f>IFERROR(INDEX(Sheet3!$A$2:$A$30,MATCH(TRUE,ISNUMBER(SEARCH(Sheet3!$A$2:$A$30,D444)),0)),"")</f>
        <v/>
      </c>
    </row>
    <row r="445" spans="2:5" x14ac:dyDescent="0.3">
      <c r="B445" s="87" t="s">
        <v>607</v>
      </c>
      <c r="C445" s="88" t="s">
        <v>823</v>
      </c>
      <c r="D445" s="90" t="s">
        <v>98</v>
      </c>
      <c r="E445" t="str">
        <f>IFERROR(INDEX(Sheet3!$A$2:$A$30,MATCH(TRUE,ISNUMBER(SEARCH(Sheet3!$A$2:$A$30,D445)),0)),"")</f>
        <v/>
      </c>
    </row>
    <row r="446" spans="2:5" x14ac:dyDescent="0.3">
      <c r="B446" s="87" t="s">
        <v>608</v>
      </c>
      <c r="C446" s="88" t="s">
        <v>823</v>
      </c>
      <c r="D446" s="90" t="s">
        <v>832</v>
      </c>
      <c r="E446" t="str">
        <f>IFERROR(INDEX(Sheet3!$A$2:$A$30,MATCH(TRUE,ISNUMBER(SEARCH(Sheet3!$A$2:$A$30,D446)),0)),"")</f>
        <v/>
      </c>
    </row>
    <row r="447" spans="2:5" x14ac:dyDescent="0.3">
      <c r="B447" s="87" t="s">
        <v>609</v>
      </c>
      <c r="C447" s="88" t="s">
        <v>823</v>
      </c>
      <c r="D447" s="90" t="s">
        <v>99</v>
      </c>
      <c r="E447" t="str">
        <f>IFERROR(INDEX(Sheet3!$A$2:$A$30,MATCH(TRUE,ISNUMBER(SEARCH(Sheet3!$A$2:$A$30,D447)),0)),"")</f>
        <v/>
      </c>
    </row>
    <row r="448" spans="2:5" x14ac:dyDescent="0.3">
      <c r="B448" s="87" t="s">
        <v>610</v>
      </c>
      <c r="C448" s="88" t="s">
        <v>823</v>
      </c>
      <c r="D448" s="90" t="s">
        <v>839</v>
      </c>
      <c r="E448" t="str">
        <f>IFERROR(INDEX(Sheet3!$A$2:$A$30,MATCH(TRUE,ISNUMBER(SEARCH(Sheet3!$A$2:$A$30,D448)),0)),"")</f>
        <v/>
      </c>
    </row>
    <row r="449" spans="2:5" x14ac:dyDescent="0.3">
      <c r="B449" s="87" t="s">
        <v>611</v>
      </c>
      <c r="C449" s="88" t="s">
        <v>823</v>
      </c>
      <c r="D449" s="90" t="s">
        <v>840</v>
      </c>
      <c r="E449" t="str">
        <f>IFERROR(INDEX(Sheet3!$A$2:$A$30,MATCH(TRUE,ISNUMBER(SEARCH(Sheet3!$A$2:$A$30,D449)),0)),"")</f>
        <v/>
      </c>
    </row>
    <row r="450" spans="2:5" x14ac:dyDescent="0.3">
      <c r="B450" s="87" t="s">
        <v>612</v>
      </c>
      <c r="C450" s="88" t="s">
        <v>823</v>
      </c>
      <c r="D450" s="90" t="s">
        <v>69</v>
      </c>
      <c r="E450" t="str">
        <f>IFERROR(INDEX(Sheet3!$A$2:$A$30,MATCH(TRUE,ISNUMBER(SEARCH(Sheet3!$A$2:$A$30,D450)),0)),"")</f>
        <v/>
      </c>
    </row>
    <row r="451" spans="2:5" x14ac:dyDescent="0.3">
      <c r="B451" s="87" t="s">
        <v>613</v>
      </c>
      <c r="C451" s="88" t="s">
        <v>823</v>
      </c>
      <c r="D451" s="90" t="s">
        <v>40</v>
      </c>
      <c r="E451" t="str">
        <f>IFERROR(INDEX(Sheet3!$A$2:$A$30,MATCH(TRUE,ISNUMBER(SEARCH(Sheet3!$A$2:$A$30,D451)),0)),"")</f>
        <v/>
      </c>
    </row>
    <row r="452" spans="2:5" x14ac:dyDescent="0.3">
      <c r="B452" s="87" t="s">
        <v>614</v>
      </c>
      <c r="C452" s="88" t="s">
        <v>823</v>
      </c>
      <c r="D452" s="90" t="s">
        <v>82</v>
      </c>
      <c r="E452" t="str">
        <f>IFERROR(INDEX(Sheet3!$A$2:$A$30,MATCH(TRUE,ISNUMBER(SEARCH(Sheet3!$A$2:$A$30,D452)),0)),"")</f>
        <v/>
      </c>
    </row>
    <row r="453" spans="2:5" x14ac:dyDescent="0.3">
      <c r="B453" s="87" t="s">
        <v>615</v>
      </c>
      <c r="C453" s="88" t="s">
        <v>824</v>
      </c>
      <c r="D453" s="90" t="s">
        <v>37</v>
      </c>
      <c r="E453" t="str">
        <f>IFERROR(INDEX(Sheet3!$A$2:$A$30,MATCH(TRUE,ISNUMBER(SEARCH(Sheet3!$A$2:$A$30,D453)),0)),"")</f>
        <v/>
      </c>
    </row>
    <row r="454" spans="2:5" x14ac:dyDescent="0.3">
      <c r="B454" s="87" t="s">
        <v>616</v>
      </c>
      <c r="C454" s="88" t="s">
        <v>824</v>
      </c>
      <c r="D454" s="90" t="s">
        <v>110</v>
      </c>
      <c r="E454" t="str">
        <f>IFERROR(INDEX(Sheet3!$A$2:$A$30,MATCH(TRUE,ISNUMBER(SEARCH(Sheet3!$A$2:$A$30,D454)),0)),"")</f>
        <v/>
      </c>
    </row>
    <row r="455" spans="2:5" x14ac:dyDescent="0.3">
      <c r="B455" s="87" t="s">
        <v>617</v>
      </c>
      <c r="C455" s="88" t="s">
        <v>824</v>
      </c>
      <c r="D455" s="90" t="s">
        <v>109</v>
      </c>
      <c r="E455" t="str">
        <f>IFERROR(INDEX(Sheet3!$A$2:$A$30,MATCH(TRUE,ISNUMBER(SEARCH(Sheet3!$A$2:$A$30,D455)),0)),"")</f>
        <v/>
      </c>
    </row>
    <row r="456" spans="2:5" x14ac:dyDescent="0.3">
      <c r="B456" s="87" t="s">
        <v>618</v>
      </c>
      <c r="C456" s="88" t="s">
        <v>824</v>
      </c>
      <c r="D456" s="90" t="s">
        <v>97</v>
      </c>
      <c r="E456" t="str">
        <f>IFERROR(INDEX(Sheet3!$A$2:$A$30,MATCH(TRUE,ISNUMBER(SEARCH(Sheet3!$A$2:$A$30,D456)),0)),"")</f>
        <v/>
      </c>
    </row>
    <row r="457" spans="2:5" x14ac:dyDescent="0.3">
      <c r="B457" s="87" t="s">
        <v>619</v>
      </c>
      <c r="C457" s="88" t="s">
        <v>824</v>
      </c>
      <c r="D457" s="90" t="s">
        <v>29</v>
      </c>
      <c r="E457" t="str">
        <f>IFERROR(INDEX(Sheet3!$A$2:$A$30,MATCH(TRUE,ISNUMBER(SEARCH(Sheet3!$A$2:$A$30,D457)),0)),"")</f>
        <v/>
      </c>
    </row>
    <row r="458" spans="2:5" x14ac:dyDescent="0.3">
      <c r="B458" s="87" t="s">
        <v>590</v>
      </c>
      <c r="C458" s="88" t="s">
        <v>824</v>
      </c>
      <c r="D458" s="90" t="s">
        <v>37</v>
      </c>
      <c r="E458" t="str">
        <f>IFERROR(INDEX(Sheet3!$A$2:$A$30,MATCH(TRUE,ISNUMBER(SEARCH(Sheet3!$A$2:$A$30,D458)),0)),"")</f>
        <v/>
      </c>
    </row>
    <row r="459" spans="2:5" x14ac:dyDescent="0.3">
      <c r="B459" s="87" t="s">
        <v>620</v>
      </c>
      <c r="C459" s="88" t="s">
        <v>824</v>
      </c>
      <c r="D459" s="90" t="s">
        <v>110</v>
      </c>
      <c r="E459" t="str">
        <f>IFERROR(INDEX(Sheet3!$A$2:$A$30,MATCH(TRUE,ISNUMBER(SEARCH(Sheet3!$A$2:$A$30,D459)),0)),"")</f>
        <v/>
      </c>
    </row>
    <row r="460" spans="2:5" x14ac:dyDescent="0.3">
      <c r="B460" s="87" t="s">
        <v>621</v>
      </c>
      <c r="C460" s="88" t="s">
        <v>824</v>
      </c>
      <c r="D460" s="90" t="s">
        <v>99</v>
      </c>
      <c r="E460" t="str">
        <f>IFERROR(INDEX(Sheet3!$A$2:$A$30,MATCH(TRUE,ISNUMBER(SEARCH(Sheet3!$A$2:$A$30,D460)),0)),"")</f>
        <v/>
      </c>
    </row>
    <row r="461" spans="2:5" x14ac:dyDescent="0.3">
      <c r="B461" s="87" t="s">
        <v>622</v>
      </c>
      <c r="C461" s="88" t="s">
        <v>824</v>
      </c>
      <c r="D461" s="90" t="s">
        <v>98</v>
      </c>
      <c r="E461" t="str">
        <f>IFERROR(INDEX(Sheet3!$A$2:$A$30,MATCH(TRUE,ISNUMBER(SEARCH(Sheet3!$A$2:$A$30,D461)),0)),"")</f>
        <v/>
      </c>
    </row>
    <row r="462" spans="2:5" x14ac:dyDescent="0.3">
      <c r="B462" s="87" t="s">
        <v>623</v>
      </c>
      <c r="C462" s="88" t="s">
        <v>824</v>
      </c>
      <c r="D462" s="90" t="s">
        <v>110</v>
      </c>
      <c r="E462" t="str">
        <f>IFERROR(INDEX(Sheet3!$A$2:$A$30,MATCH(TRUE,ISNUMBER(SEARCH(Sheet3!$A$2:$A$30,D462)),0)),"")</f>
        <v/>
      </c>
    </row>
    <row r="463" spans="2:5" x14ac:dyDescent="0.3">
      <c r="B463" s="87" t="s">
        <v>624</v>
      </c>
      <c r="C463" s="88" t="s">
        <v>824</v>
      </c>
      <c r="D463" s="90" t="s">
        <v>40</v>
      </c>
      <c r="E463" t="str">
        <f>IFERROR(INDEX(Sheet3!$A$2:$A$30,MATCH(TRUE,ISNUMBER(SEARCH(Sheet3!$A$2:$A$30,D463)),0)),"")</f>
        <v/>
      </c>
    </row>
    <row r="464" spans="2:5" x14ac:dyDescent="0.3">
      <c r="B464" s="87" t="s">
        <v>625</v>
      </c>
      <c r="C464" s="88" t="s">
        <v>824</v>
      </c>
      <c r="D464" s="90" t="s">
        <v>837</v>
      </c>
      <c r="E464" t="str">
        <f>IFERROR(INDEX(Sheet3!$A$2:$A$30,MATCH(TRUE,ISNUMBER(SEARCH(Sheet3!$A$2:$A$30,D464)),0)),"")</f>
        <v/>
      </c>
    </row>
    <row r="465" spans="2:5" x14ac:dyDescent="0.3">
      <c r="B465" s="87" t="s">
        <v>626</v>
      </c>
      <c r="C465" s="88" t="s">
        <v>824</v>
      </c>
      <c r="D465" s="90" t="s">
        <v>838</v>
      </c>
      <c r="E465" t="str">
        <f>IFERROR(INDEX(Sheet3!$A$2:$A$30,MATCH(TRUE,ISNUMBER(SEARCH(Sheet3!$A$2:$A$30,D465)),0)),"")</f>
        <v/>
      </c>
    </row>
    <row r="466" spans="2:5" x14ac:dyDescent="0.3">
      <c r="B466" s="87" t="s">
        <v>627</v>
      </c>
      <c r="C466" s="88" t="s">
        <v>824</v>
      </c>
      <c r="D466" s="90" t="s">
        <v>837</v>
      </c>
      <c r="E466" t="str">
        <f>IFERROR(INDEX(Sheet3!$A$2:$A$30,MATCH(TRUE,ISNUMBER(SEARCH(Sheet3!$A$2:$A$30,D466)),0)),"")</f>
        <v/>
      </c>
    </row>
    <row r="467" spans="2:5" x14ac:dyDescent="0.3">
      <c r="B467" s="87" t="s">
        <v>628</v>
      </c>
      <c r="C467" s="88" t="s">
        <v>824</v>
      </c>
      <c r="D467" s="90" t="s">
        <v>835</v>
      </c>
      <c r="E467" t="str">
        <f>IFERROR(INDEX(Sheet3!$A$2:$A$30,MATCH(TRUE,ISNUMBER(SEARCH(Sheet3!$A$2:$A$30,D467)),0)),"")</f>
        <v/>
      </c>
    </row>
    <row r="468" spans="2:5" x14ac:dyDescent="0.3">
      <c r="B468" s="87" t="s">
        <v>629</v>
      </c>
      <c r="C468" s="88" t="s">
        <v>824</v>
      </c>
      <c r="D468" s="90" t="s">
        <v>110</v>
      </c>
      <c r="E468" t="str">
        <f>IFERROR(INDEX(Sheet3!$A$2:$A$30,MATCH(TRUE,ISNUMBER(SEARCH(Sheet3!$A$2:$A$30,D468)),0)),"")</f>
        <v/>
      </c>
    </row>
    <row r="469" spans="2:5" x14ac:dyDescent="0.3">
      <c r="B469" s="87" t="s">
        <v>630</v>
      </c>
      <c r="C469" s="88" t="s">
        <v>824</v>
      </c>
      <c r="D469" s="90" t="s">
        <v>101</v>
      </c>
      <c r="E469" t="str">
        <f>IFERROR(INDEX(Sheet3!$A$2:$A$30,MATCH(TRUE,ISNUMBER(SEARCH(Sheet3!$A$2:$A$30,D469)),0)),"")</f>
        <v/>
      </c>
    </row>
    <row r="470" spans="2:5" x14ac:dyDescent="0.3">
      <c r="B470" s="87" t="s">
        <v>631</v>
      </c>
      <c r="C470" s="88" t="s">
        <v>824</v>
      </c>
      <c r="D470" s="90" t="s">
        <v>96</v>
      </c>
      <c r="E470" t="str">
        <f>IFERROR(INDEX(Sheet3!$A$2:$A$30,MATCH(TRUE,ISNUMBER(SEARCH(Sheet3!$A$2:$A$30,D470)),0)),"")</f>
        <v/>
      </c>
    </row>
    <row r="471" spans="2:5" x14ac:dyDescent="0.3">
      <c r="B471" s="87" t="s">
        <v>632</v>
      </c>
      <c r="C471" s="88" t="s">
        <v>824</v>
      </c>
      <c r="D471" s="90" t="s">
        <v>838</v>
      </c>
      <c r="E471" t="str">
        <f>IFERROR(INDEX(Sheet3!$A$2:$A$30,MATCH(TRUE,ISNUMBER(SEARCH(Sheet3!$A$2:$A$30,D471)),0)),"")</f>
        <v/>
      </c>
    </row>
    <row r="472" spans="2:5" x14ac:dyDescent="0.3">
      <c r="B472" s="87" t="s">
        <v>633</v>
      </c>
      <c r="C472" s="88" t="s">
        <v>824</v>
      </c>
      <c r="D472" s="90" t="s">
        <v>110</v>
      </c>
      <c r="E472" t="str">
        <f>IFERROR(INDEX(Sheet3!$A$2:$A$30,MATCH(TRUE,ISNUMBER(SEARCH(Sheet3!$A$2:$A$30,D472)),0)),"")</f>
        <v/>
      </c>
    </row>
    <row r="473" spans="2:5" x14ac:dyDescent="0.3">
      <c r="B473" s="87" t="s">
        <v>634</v>
      </c>
      <c r="C473" s="88" t="s">
        <v>824</v>
      </c>
      <c r="D473" s="90" t="s">
        <v>832</v>
      </c>
      <c r="E473" t="str">
        <f>IFERROR(INDEX(Sheet3!$A$2:$A$30,MATCH(TRUE,ISNUMBER(SEARCH(Sheet3!$A$2:$A$30,D473)),0)),"")</f>
        <v/>
      </c>
    </row>
    <row r="474" spans="2:5" x14ac:dyDescent="0.3">
      <c r="B474" s="87" t="s">
        <v>635</v>
      </c>
      <c r="C474" s="88" t="s">
        <v>824</v>
      </c>
      <c r="D474" s="90" t="s">
        <v>3</v>
      </c>
      <c r="E474" t="str">
        <f>IFERROR(INDEX(Sheet3!$A$2:$A$30,MATCH(TRUE,ISNUMBER(SEARCH(Sheet3!$A$2:$A$30,D474)),0)),"")</f>
        <v/>
      </c>
    </row>
    <row r="475" spans="2:5" x14ac:dyDescent="0.3">
      <c r="B475" s="87" t="s">
        <v>636</v>
      </c>
      <c r="C475" s="88" t="s">
        <v>824</v>
      </c>
      <c r="D475" s="90" t="s">
        <v>835</v>
      </c>
      <c r="E475" t="str">
        <f>IFERROR(INDEX(Sheet3!$A$2:$A$30,MATCH(TRUE,ISNUMBER(SEARCH(Sheet3!$A$2:$A$30,D475)),0)),"")</f>
        <v/>
      </c>
    </row>
    <row r="476" spans="2:5" x14ac:dyDescent="0.3">
      <c r="B476" s="87" t="s">
        <v>637</v>
      </c>
      <c r="C476" s="88" t="s">
        <v>824</v>
      </c>
      <c r="D476" s="90" t="s">
        <v>835</v>
      </c>
      <c r="E476" t="str">
        <f>IFERROR(INDEX(Sheet3!$A$2:$A$30,MATCH(TRUE,ISNUMBER(SEARCH(Sheet3!$A$2:$A$30,D476)),0)),"")</f>
        <v/>
      </c>
    </row>
    <row r="477" spans="2:5" x14ac:dyDescent="0.3">
      <c r="B477" s="87" t="s">
        <v>638</v>
      </c>
      <c r="C477" s="88" t="s">
        <v>824</v>
      </c>
      <c r="D477" s="90" t="s">
        <v>841</v>
      </c>
      <c r="E477" t="str">
        <f>IFERROR(INDEX(Sheet3!$A$2:$A$30,MATCH(TRUE,ISNUMBER(SEARCH(Sheet3!$A$2:$A$30,D477)),0)),"")</f>
        <v/>
      </c>
    </row>
    <row r="478" spans="2:5" x14ac:dyDescent="0.3">
      <c r="B478" s="87" t="s">
        <v>639</v>
      </c>
      <c r="C478" s="88" t="s">
        <v>824</v>
      </c>
      <c r="D478" s="90" t="s">
        <v>37</v>
      </c>
      <c r="E478" t="str">
        <f>IFERROR(INDEX(Sheet3!$A$2:$A$30,MATCH(TRUE,ISNUMBER(SEARCH(Sheet3!$A$2:$A$30,D478)),0)),"")</f>
        <v/>
      </c>
    </row>
    <row r="479" spans="2:5" x14ac:dyDescent="0.3">
      <c r="B479" s="87" t="s">
        <v>640</v>
      </c>
      <c r="C479" s="88" t="s">
        <v>824</v>
      </c>
      <c r="D479" s="90" t="s">
        <v>97</v>
      </c>
      <c r="E479" t="str">
        <f>IFERROR(INDEX(Sheet3!$A$2:$A$30,MATCH(TRUE,ISNUMBER(SEARCH(Sheet3!$A$2:$A$30,D479)),0)),"")</f>
        <v/>
      </c>
    </row>
    <row r="480" spans="2:5" x14ac:dyDescent="0.3">
      <c r="B480" s="87" t="s">
        <v>641</v>
      </c>
      <c r="C480" s="88" t="s">
        <v>824</v>
      </c>
      <c r="D480" s="90" t="s">
        <v>98</v>
      </c>
      <c r="E480" t="str">
        <f>IFERROR(INDEX(Sheet3!$A$2:$A$30,MATCH(TRUE,ISNUMBER(SEARCH(Sheet3!$A$2:$A$30,D480)),0)),"")</f>
        <v/>
      </c>
    </row>
    <row r="481" spans="2:5" x14ac:dyDescent="0.3">
      <c r="B481" s="87" t="s">
        <v>642</v>
      </c>
      <c r="C481" s="88" t="s">
        <v>825</v>
      </c>
      <c r="D481" s="90" t="s">
        <v>98</v>
      </c>
      <c r="E481" t="str">
        <f>IFERROR(INDEX(Sheet3!$A$2:$A$30,MATCH(TRUE,ISNUMBER(SEARCH(Sheet3!$A$2:$A$30,D481)),0)),"")</f>
        <v/>
      </c>
    </row>
    <row r="482" spans="2:5" x14ac:dyDescent="0.3">
      <c r="B482" s="87" t="s">
        <v>643</v>
      </c>
      <c r="C482" s="88" t="s">
        <v>825</v>
      </c>
      <c r="D482" s="90" t="s">
        <v>835</v>
      </c>
      <c r="E482" t="str">
        <f>IFERROR(INDEX(Sheet3!$A$2:$A$30,MATCH(TRUE,ISNUMBER(SEARCH(Sheet3!$A$2:$A$30,D482)),0)),"")</f>
        <v/>
      </c>
    </row>
    <row r="483" spans="2:5" x14ac:dyDescent="0.3">
      <c r="B483" s="87" t="s">
        <v>644</v>
      </c>
      <c r="C483" s="88" t="s">
        <v>825</v>
      </c>
      <c r="D483" s="90" t="s">
        <v>832</v>
      </c>
      <c r="E483" t="str">
        <f>IFERROR(INDEX(Sheet3!$A$2:$A$30,MATCH(TRUE,ISNUMBER(SEARCH(Sheet3!$A$2:$A$30,D483)),0)),"")</f>
        <v/>
      </c>
    </row>
    <row r="484" spans="2:5" x14ac:dyDescent="0.3">
      <c r="B484" s="87" t="s">
        <v>645</v>
      </c>
      <c r="C484" s="88" t="s">
        <v>825</v>
      </c>
      <c r="D484" s="90" t="s">
        <v>98</v>
      </c>
      <c r="E484" t="str">
        <f>IFERROR(INDEX(Sheet3!$A$2:$A$30,MATCH(TRUE,ISNUMBER(SEARCH(Sheet3!$A$2:$A$30,D484)),0)),"")</f>
        <v/>
      </c>
    </row>
    <row r="485" spans="2:5" x14ac:dyDescent="0.3">
      <c r="B485" s="87" t="s">
        <v>646</v>
      </c>
      <c r="C485" s="88" t="s">
        <v>825</v>
      </c>
      <c r="D485" s="90" t="s">
        <v>839</v>
      </c>
      <c r="E485" t="str">
        <f>IFERROR(INDEX(Sheet3!$A$2:$A$30,MATCH(TRUE,ISNUMBER(SEARCH(Sheet3!$A$2:$A$30,D485)),0)),"")</f>
        <v/>
      </c>
    </row>
    <row r="486" spans="2:5" x14ac:dyDescent="0.3">
      <c r="B486" s="87" t="s">
        <v>647</v>
      </c>
      <c r="C486" s="88" t="s">
        <v>825</v>
      </c>
      <c r="D486" s="90" t="s">
        <v>37</v>
      </c>
      <c r="E486" t="str">
        <f>IFERROR(INDEX(Sheet3!$A$2:$A$30,MATCH(TRUE,ISNUMBER(SEARCH(Sheet3!$A$2:$A$30,D486)),0)),"")</f>
        <v/>
      </c>
    </row>
    <row r="487" spans="2:5" x14ac:dyDescent="0.3">
      <c r="B487" s="87" t="s">
        <v>648</v>
      </c>
      <c r="C487" s="88" t="s">
        <v>825</v>
      </c>
      <c r="D487" s="90" t="s">
        <v>96</v>
      </c>
      <c r="E487" t="str">
        <f>IFERROR(INDEX(Sheet3!$A$2:$A$30,MATCH(TRUE,ISNUMBER(SEARCH(Sheet3!$A$2:$A$30,D487)),0)),"")</f>
        <v/>
      </c>
    </row>
    <row r="488" spans="2:5" x14ac:dyDescent="0.3">
      <c r="B488" s="87" t="s">
        <v>649</v>
      </c>
      <c r="C488" s="88" t="s">
        <v>825</v>
      </c>
      <c r="D488" s="90" t="s">
        <v>838</v>
      </c>
      <c r="E488" t="str">
        <f>IFERROR(INDEX(Sheet3!$A$2:$A$30,MATCH(TRUE,ISNUMBER(SEARCH(Sheet3!$A$2:$A$30,D488)),0)),"")</f>
        <v/>
      </c>
    </row>
    <row r="489" spans="2:5" x14ac:dyDescent="0.3">
      <c r="B489" s="87" t="s">
        <v>650</v>
      </c>
      <c r="C489" s="88" t="s">
        <v>825</v>
      </c>
      <c r="D489" s="90" t="s">
        <v>832</v>
      </c>
      <c r="E489" t="str">
        <f>IFERROR(INDEX(Sheet3!$A$2:$A$30,MATCH(TRUE,ISNUMBER(SEARCH(Sheet3!$A$2:$A$30,D489)),0)),"")</f>
        <v/>
      </c>
    </row>
    <row r="490" spans="2:5" x14ac:dyDescent="0.3">
      <c r="B490" s="87" t="s">
        <v>651</v>
      </c>
      <c r="C490" s="88" t="s">
        <v>825</v>
      </c>
      <c r="D490" s="90" t="s">
        <v>82</v>
      </c>
      <c r="E490" t="str">
        <f>IFERROR(INDEX(Sheet3!$A$2:$A$30,MATCH(TRUE,ISNUMBER(SEARCH(Sheet3!$A$2:$A$30,D490)),0)),"")</f>
        <v/>
      </c>
    </row>
    <row r="491" spans="2:5" x14ac:dyDescent="0.3">
      <c r="B491" s="87" t="s">
        <v>652</v>
      </c>
      <c r="C491" s="88" t="s">
        <v>825</v>
      </c>
      <c r="D491" s="90" t="s">
        <v>98</v>
      </c>
      <c r="E491" t="str">
        <f>IFERROR(INDEX(Sheet3!$A$2:$A$30,MATCH(TRUE,ISNUMBER(SEARCH(Sheet3!$A$2:$A$30,D491)),0)),"")</f>
        <v/>
      </c>
    </row>
    <row r="492" spans="2:5" x14ac:dyDescent="0.3">
      <c r="B492" s="87" t="s">
        <v>653</v>
      </c>
      <c r="C492" s="88" t="s">
        <v>825</v>
      </c>
      <c r="D492" s="90" t="s">
        <v>3</v>
      </c>
      <c r="E492" t="str">
        <f>IFERROR(INDEX(Sheet3!$A$2:$A$30,MATCH(TRUE,ISNUMBER(SEARCH(Sheet3!$A$2:$A$30,D492)),0)),"")</f>
        <v/>
      </c>
    </row>
    <row r="493" spans="2:5" x14ac:dyDescent="0.3">
      <c r="B493" s="87" t="s">
        <v>654</v>
      </c>
      <c r="C493" s="88" t="s">
        <v>825</v>
      </c>
      <c r="D493" s="90" t="s">
        <v>99</v>
      </c>
      <c r="E493" t="str">
        <f>IFERROR(INDEX(Sheet3!$A$2:$A$30,MATCH(TRUE,ISNUMBER(SEARCH(Sheet3!$A$2:$A$30,D493)),0)),"")</f>
        <v/>
      </c>
    </row>
    <row r="494" spans="2:5" x14ac:dyDescent="0.3">
      <c r="B494" s="87" t="s">
        <v>655</v>
      </c>
      <c r="C494" s="88" t="s">
        <v>825</v>
      </c>
      <c r="D494" s="90" t="s">
        <v>96</v>
      </c>
      <c r="E494" t="str">
        <f>IFERROR(INDEX(Sheet3!$A$2:$A$30,MATCH(TRUE,ISNUMBER(SEARCH(Sheet3!$A$2:$A$30,D494)),0)),"")</f>
        <v/>
      </c>
    </row>
    <row r="495" spans="2:5" x14ac:dyDescent="0.3">
      <c r="B495" s="87" t="s">
        <v>656</v>
      </c>
      <c r="C495" s="88" t="s">
        <v>825</v>
      </c>
      <c r="D495" s="90" t="s">
        <v>98</v>
      </c>
      <c r="E495" t="str">
        <f>IFERROR(INDEX(Sheet3!$A$2:$A$30,MATCH(TRUE,ISNUMBER(SEARCH(Sheet3!$A$2:$A$30,D495)),0)),"")</f>
        <v/>
      </c>
    </row>
    <row r="496" spans="2:5" x14ac:dyDescent="0.3">
      <c r="B496" s="87" t="s">
        <v>657</v>
      </c>
      <c r="C496" s="88" t="s">
        <v>825</v>
      </c>
      <c r="D496" s="90" t="s">
        <v>98</v>
      </c>
      <c r="E496" t="str">
        <f>IFERROR(INDEX(Sheet3!$A$2:$A$30,MATCH(TRUE,ISNUMBER(SEARCH(Sheet3!$A$2:$A$30,D496)),0)),"")</f>
        <v/>
      </c>
    </row>
    <row r="497" spans="2:5" x14ac:dyDescent="0.3">
      <c r="B497" s="87" t="s">
        <v>658</v>
      </c>
      <c r="C497" s="88" t="s">
        <v>825</v>
      </c>
      <c r="D497" s="90" t="s">
        <v>3</v>
      </c>
      <c r="E497" t="str">
        <f>IFERROR(INDEX(Sheet3!$A$2:$A$30,MATCH(TRUE,ISNUMBER(SEARCH(Sheet3!$A$2:$A$30,D497)),0)),"")</f>
        <v/>
      </c>
    </row>
    <row r="498" spans="2:5" x14ac:dyDescent="0.3">
      <c r="B498" s="87" t="s">
        <v>659</v>
      </c>
      <c r="C498" s="88" t="s">
        <v>825</v>
      </c>
      <c r="D498" s="90" t="s">
        <v>842</v>
      </c>
      <c r="E498" t="str">
        <f>IFERROR(INDEX(Sheet3!$A$2:$A$30,MATCH(TRUE,ISNUMBER(SEARCH(Sheet3!$A$2:$A$30,D498)),0)),"")</f>
        <v/>
      </c>
    </row>
    <row r="499" spans="2:5" x14ac:dyDescent="0.3">
      <c r="B499" s="87" t="s">
        <v>660</v>
      </c>
      <c r="C499" s="88" t="s">
        <v>825</v>
      </c>
      <c r="D499" s="90" t="s">
        <v>840</v>
      </c>
      <c r="E499" t="str">
        <f>IFERROR(INDEX(Sheet3!$A$2:$A$30,MATCH(TRUE,ISNUMBER(SEARCH(Sheet3!$A$2:$A$30,D499)),0)),"")</f>
        <v/>
      </c>
    </row>
    <row r="500" spans="2:5" x14ac:dyDescent="0.3">
      <c r="B500" s="87" t="s">
        <v>661</v>
      </c>
      <c r="C500" s="88" t="s">
        <v>825</v>
      </c>
      <c r="D500" s="90" t="s">
        <v>110</v>
      </c>
      <c r="E500" t="str">
        <f>IFERROR(INDEX(Sheet3!$A$2:$A$30,MATCH(TRUE,ISNUMBER(SEARCH(Sheet3!$A$2:$A$30,D500)),0)),"")</f>
        <v/>
      </c>
    </row>
    <row r="501" spans="2:5" x14ac:dyDescent="0.3">
      <c r="B501" s="87" t="s">
        <v>662</v>
      </c>
      <c r="C501" s="88" t="s">
        <v>825</v>
      </c>
      <c r="D501" s="90" t="s">
        <v>99</v>
      </c>
      <c r="E501" t="str">
        <f>IFERROR(INDEX(Sheet3!$A$2:$A$30,MATCH(TRUE,ISNUMBER(SEARCH(Sheet3!$A$2:$A$30,D501)),0)),"")</f>
        <v/>
      </c>
    </row>
    <row r="502" spans="2:5" x14ac:dyDescent="0.3">
      <c r="B502" s="87" t="s">
        <v>663</v>
      </c>
      <c r="C502" s="88" t="s">
        <v>825</v>
      </c>
      <c r="D502" s="90" t="s">
        <v>37</v>
      </c>
      <c r="E502" t="str">
        <f>IFERROR(INDEX(Sheet3!$A$2:$A$30,MATCH(TRUE,ISNUMBER(SEARCH(Sheet3!$A$2:$A$30,D502)),0)),"")</f>
        <v/>
      </c>
    </row>
    <row r="503" spans="2:5" x14ac:dyDescent="0.3">
      <c r="B503" s="87" t="s">
        <v>664</v>
      </c>
      <c r="C503" s="88" t="s">
        <v>825</v>
      </c>
      <c r="D503" s="90" t="s">
        <v>98</v>
      </c>
      <c r="E503" t="str">
        <f>IFERROR(INDEX(Sheet3!$A$2:$A$30,MATCH(TRUE,ISNUMBER(SEARCH(Sheet3!$A$2:$A$30,D503)),0)),"")</f>
        <v/>
      </c>
    </row>
    <row r="504" spans="2:5" x14ac:dyDescent="0.3">
      <c r="B504" s="87" t="s">
        <v>665</v>
      </c>
      <c r="C504" s="88" t="s">
        <v>825</v>
      </c>
      <c r="D504" s="90" t="s">
        <v>110</v>
      </c>
      <c r="E504" t="str">
        <f>IFERROR(INDEX(Sheet3!$A$2:$A$30,MATCH(TRUE,ISNUMBER(SEARCH(Sheet3!$A$2:$A$30,D504)),0)),"")</f>
        <v/>
      </c>
    </row>
    <row r="505" spans="2:5" x14ac:dyDescent="0.3">
      <c r="B505" s="87" t="s">
        <v>666</v>
      </c>
      <c r="C505" s="88" t="s">
        <v>825</v>
      </c>
      <c r="D505" s="90" t="s">
        <v>96</v>
      </c>
      <c r="E505" t="str">
        <f>IFERROR(INDEX(Sheet3!$A$2:$A$30,MATCH(TRUE,ISNUMBER(SEARCH(Sheet3!$A$2:$A$30,D505)),0)),"")</f>
        <v/>
      </c>
    </row>
    <row r="506" spans="2:5" x14ac:dyDescent="0.3">
      <c r="B506" s="87" t="s">
        <v>667</v>
      </c>
      <c r="C506" s="88" t="s">
        <v>826</v>
      </c>
      <c r="D506" s="90" t="s">
        <v>841</v>
      </c>
      <c r="E506" t="str">
        <f>IFERROR(INDEX(Sheet3!$A$2:$A$30,MATCH(TRUE,ISNUMBER(SEARCH(Sheet3!$A$2:$A$30,D506)),0)),"")</f>
        <v/>
      </c>
    </row>
    <row r="507" spans="2:5" x14ac:dyDescent="0.3">
      <c r="B507" s="87" t="s">
        <v>668</v>
      </c>
      <c r="C507" s="88" t="s">
        <v>826</v>
      </c>
      <c r="D507" s="90" t="s">
        <v>82</v>
      </c>
      <c r="E507" t="str">
        <f>IFERROR(INDEX(Sheet3!$A$2:$A$30,MATCH(TRUE,ISNUMBER(SEARCH(Sheet3!$A$2:$A$30,D507)),0)),"")</f>
        <v/>
      </c>
    </row>
    <row r="508" spans="2:5" x14ac:dyDescent="0.3">
      <c r="B508" s="87" t="s">
        <v>669</v>
      </c>
      <c r="C508" s="88" t="s">
        <v>826</v>
      </c>
      <c r="D508" s="90" t="s">
        <v>69</v>
      </c>
      <c r="E508" t="str">
        <f>IFERROR(INDEX(Sheet3!$A$2:$A$30,MATCH(TRUE,ISNUMBER(SEARCH(Sheet3!$A$2:$A$30,D508)),0)),"")</f>
        <v/>
      </c>
    </row>
    <row r="509" spans="2:5" x14ac:dyDescent="0.3">
      <c r="B509" s="87" t="s">
        <v>670</v>
      </c>
      <c r="C509" s="88" t="s">
        <v>826</v>
      </c>
      <c r="D509" s="90" t="s">
        <v>835</v>
      </c>
      <c r="E509" t="str">
        <f>IFERROR(INDEX(Sheet3!$A$2:$A$30,MATCH(TRUE,ISNUMBER(SEARCH(Sheet3!$A$2:$A$30,D509)),0)),"")</f>
        <v/>
      </c>
    </row>
    <row r="510" spans="2:5" x14ac:dyDescent="0.3">
      <c r="B510" s="87" t="s">
        <v>671</v>
      </c>
      <c r="C510" s="88" t="s">
        <v>826</v>
      </c>
      <c r="D510" s="90" t="s">
        <v>75</v>
      </c>
      <c r="E510" t="str">
        <f>IFERROR(INDEX(Sheet3!$A$2:$A$30,MATCH(TRUE,ISNUMBER(SEARCH(Sheet3!$A$2:$A$30,D510)),0)),"")</f>
        <v/>
      </c>
    </row>
    <row r="511" spans="2:5" x14ac:dyDescent="0.3">
      <c r="B511" s="87" t="s">
        <v>672</v>
      </c>
      <c r="C511" s="88" t="s">
        <v>826</v>
      </c>
      <c r="D511" s="90" t="s">
        <v>835</v>
      </c>
      <c r="E511" t="str">
        <f>IFERROR(INDEX(Sheet3!$A$2:$A$30,MATCH(TRUE,ISNUMBER(SEARCH(Sheet3!$A$2:$A$30,D511)),0)),"")</f>
        <v/>
      </c>
    </row>
    <row r="512" spans="2:5" x14ac:dyDescent="0.3">
      <c r="B512" s="87" t="s">
        <v>673</v>
      </c>
      <c r="C512" s="88" t="s">
        <v>826</v>
      </c>
      <c r="D512" s="90" t="s">
        <v>37</v>
      </c>
      <c r="E512" t="str">
        <f>IFERROR(INDEX(Sheet3!$A$2:$A$30,MATCH(TRUE,ISNUMBER(SEARCH(Sheet3!$A$2:$A$30,D512)),0)),"")</f>
        <v/>
      </c>
    </row>
    <row r="513" spans="2:5" x14ac:dyDescent="0.3">
      <c r="B513" s="87" t="s">
        <v>674</v>
      </c>
      <c r="C513" s="88" t="s">
        <v>826</v>
      </c>
      <c r="D513" s="90" t="s">
        <v>110</v>
      </c>
      <c r="E513" t="str">
        <f>IFERROR(INDEX(Sheet3!$A$2:$A$30,MATCH(TRUE,ISNUMBER(SEARCH(Sheet3!$A$2:$A$30,D513)),0)),"")</f>
        <v/>
      </c>
    </row>
    <row r="514" spans="2:5" x14ac:dyDescent="0.3">
      <c r="B514" s="87" t="s">
        <v>675</v>
      </c>
      <c r="C514" s="88" t="s">
        <v>826</v>
      </c>
      <c r="D514" s="90" t="s">
        <v>80</v>
      </c>
      <c r="E514" t="str">
        <f>IFERROR(INDEX(Sheet3!$A$2:$A$30,MATCH(TRUE,ISNUMBER(SEARCH(Sheet3!$A$2:$A$30,D514)),0)),"")</f>
        <v/>
      </c>
    </row>
    <row r="515" spans="2:5" x14ac:dyDescent="0.3">
      <c r="B515" s="87" t="s">
        <v>676</v>
      </c>
      <c r="C515" s="88" t="s">
        <v>826</v>
      </c>
      <c r="D515" s="90" t="s">
        <v>80</v>
      </c>
      <c r="E515" t="str">
        <f>IFERROR(INDEX(Sheet3!$A$2:$A$30,MATCH(TRUE,ISNUMBER(SEARCH(Sheet3!$A$2:$A$30,D515)),0)),"")</f>
        <v/>
      </c>
    </row>
    <row r="516" spans="2:5" x14ac:dyDescent="0.3">
      <c r="B516" s="87" t="s">
        <v>677</v>
      </c>
      <c r="C516" s="88" t="s">
        <v>826</v>
      </c>
      <c r="D516" s="90" t="s">
        <v>99</v>
      </c>
      <c r="E516" t="str">
        <f>IFERROR(INDEX(Sheet3!$A$2:$A$30,MATCH(TRUE,ISNUMBER(SEARCH(Sheet3!$A$2:$A$30,D516)),0)),"")</f>
        <v/>
      </c>
    </row>
    <row r="517" spans="2:5" x14ac:dyDescent="0.3">
      <c r="B517" s="87" t="s">
        <v>678</v>
      </c>
      <c r="C517" s="88" t="s">
        <v>826</v>
      </c>
      <c r="D517" s="90" t="s">
        <v>99</v>
      </c>
      <c r="E517" t="str">
        <f>IFERROR(INDEX(Sheet3!$A$2:$A$30,MATCH(TRUE,ISNUMBER(SEARCH(Sheet3!$A$2:$A$30,D517)),0)),"")</f>
        <v/>
      </c>
    </row>
    <row r="518" spans="2:5" x14ac:dyDescent="0.3">
      <c r="B518" s="87" t="s">
        <v>679</v>
      </c>
      <c r="C518" s="88" t="s">
        <v>826</v>
      </c>
      <c r="D518" s="90" t="s">
        <v>109</v>
      </c>
      <c r="E518" t="str">
        <f>IFERROR(INDEX(Sheet3!$A$2:$A$30,MATCH(TRUE,ISNUMBER(SEARCH(Sheet3!$A$2:$A$30,D518)),0)),"")</f>
        <v/>
      </c>
    </row>
    <row r="519" spans="2:5" x14ac:dyDescent="0.3">
      <c r="B519" s="87" t="s">
        <v>680</v>
      </c>
      <c r="C519" s="88" t="s">
        <v>826</v>
      </c>
      <c r="D519" s="90" t="s">
        <v>80</v>
      </c>
      <c r="E519" t="str">
        <f>IFERROR(INDEX(Sheet3!$A$2:$A$30,MATCH(TRUE,ISNUMBER(SEARCH(Sheet3!$A$2:$A$30,D519)),0)),"")</f>
        <v/>
      </c>
    </row>
    <row r="520" spans="2:5" x14ac:dyDescent="0.3">
      <c r="B520" s="87" t="s">
        <v>681</v>
      </c>
      <c r="C520" s="88" t="s">
        <v>826</v>
      </c>
      <c r="D520" s="90" t="s">
        <v>82</v>
      </c>
      <c r="E520" t="str">
        <f>IFERROR(INDEX(Sheet3!$A$2:$A$30,MATCH(TRUE,ISNUMBER(SEARCH(Sheet3!$A$2:$A$30,D520)),0)),"")</f>
        <v/>
      </c>
    </row>
    <row r="521" spans="2:5" x14ac:dyDescent="0.3">
      <c r="B521" s="87" t="s">
        <v>682</v>
      </c>
      <c r="C521" s="88" t="s">
        <v>826</v>
      </c>
      <c r="D521" s="90" t="s">
        <v>98</v>
      </c>
      <c r="E521" t="str">
        <f>IFERROR(INDEX(Sheet3!$A$2:$A$30,MATCH(TRUE,ISNUMBER(SEARCH(Sheet3!$A$2:$A$30,D521)),0)),"")</f>
        <v/>
      </c>
    </row>
    <row r="522" spans="2:5" x14ac:dyDescent="0.3">
      <c r="B522" s="87" t="s">
        <v>683</v>
      </c>
      <c r="C522" s="88" t="s">
        <v>826</v>
      </c>
      <c r="D522" s="90" t="s">
        <v>37</v>
      </c>
      <c r="E522" t="str">
        <f>IFERROR(INDEX(Sheet3!$A$2:$A$30,MATCH(TRUE,ISNUMBER(SEARCH(Sheet3!$A$2:$A$30,D522)),0)),"")</f>
        <v/>
      </c>
    </row>
    <row r="523" spans="2:5" x14ac:dyDescent="0.3">
      <c r="B523" s="87" t="s">
        <v>684</v>
      </c>
      <c r="C523" s="88" t="s">
        <v>826</v>
      </c>
      <c r="D523" s="90" t="s">
        <v>96</v>
      </c>
      <c r="E523" t="str">
        <f>IFERROR(INDEX(Sheet3!$A$2:$A$30,MATCH(TRUE,ISNUMBER(SEARCH(Sheet3!$A$2:$A$30,D523)),0)),"")</f>
        <v/>
      </c>
    </row>
    <row r="524" spans="2:5" x14ac:dyDescent="0.3">
      <c r="B524" s="87" t="s">
        <v>685</v>
      </c>
      <c r="C524" s="88" t="s">
        <v>826</v>
      </c>
      <c r="D524" s="90" t="s">
        <v>37</v>
      </c>
      <c r="E524" t="str">
        <f>IFERROR(INDEX(Sheet3!$A$2:$A$30,MATCH(TRUE,ISNUMBER(SEARCH(Sheet3!$A$2:$A$30,D524)),0)),"")</f>
        <v/>
      </c>
    </row>
    <row r="525" spans="2:5" x14ac:dyDescent="0.3">
      <c r="B525" s="87" t="s">
        <v>686</v>
      </c>
      <c r="C525" s="88" t="s">
        <v>826</v>
      </c>
      <c r="D525" s="90" t="s">
        <v>69</v>
      </c>
      <c r="E525" t="str">
        <f>IFERROR(INDEX(Sheet3!$A$2:$A$30,MATCH(TRUE,ISNUMBER(SEARCH(Sheet3!$A$2:$A$30,D525)),0)),"")</f>
        <v/>
      </c>
    </row>
    <row r="526" spans="2:5" x14ac:dyDescent="0.3">
      <c r="B526" s="87" t="s">
        <v>687</v>
      </c>
      <c r="C526" s="88" t="s">
        <v>826</v>
      </c>
      <c r="D526" s="90" t="s">
        <v>835</v>
      </c>
      <c r="E526" t="str">
        <f>IFERROR(INDEX(Sheet3!$A$2:$A$30,MATCH(TRUE,ISNUMBER(SEARCH(Sheet3!$A$2:$A$30,D526)),0)),"")</f>
        <v/>
      </c>
    </row>
    <row r="527" spans="2:5" x14ac:dyDescent="0.3">
      <c r="B527" s="87" t="s">
        <v>688</v>
      </c>
      <c r="C527" s="88" t="s">
        <v>826</v>
      </c>
      <c r="D527" s="90" t="s">
        <v>110</v>
      </c>
      <c r="E527" t="str">
        <f>IFERROR(INDEX(Sheet3!$A$2:$A$30,MATCH(TRUE,ISNUMBER(SEARCH(Sheet3!$A$2:$A$30,D527)),0)),"")</f>
        <v/>
      </c>
    </row>
    <row r="528" spans="2:5" x14ac:dyDescent="0.3">
      <c r="B528" s="87" t="s">
        <v>689</v>
      </c>
      <c r="C528" s="88" t="s">
        <v>826</v>
      </c>
      <c r="D528" s="90" t="s">
        <v>836</v>
      </c>
      <c r="E528" t="str">
        <f>IFERROR(INDEX(Sheet3!$A$2:$A$30,MATCH(TRUE,ISNUMBER(SEARCH(Sheet3!$A$2:$A$30,D528)),0)),"")</f>
        <v/>
      </c>
    </row>
    <row r="529" spans="2:5" x14ac:dyDescent="0.3">
      <c r="B529" s="87" t="s">
        <v>690</v>
      </c>
      <c r="C529" s="88" t="s">
        <v>826</v>
      </c>
      <c r="D529" s="90" t="s">
        <v>109</v>
      </c>
      <c r="E529" t="str">
        <f>IFERROR(INDEX(Sheet3!$A$2:$A$30,MATCH(TRUE,ISNUMBER(SEARCH(Sheet3!$A$2:$A$30,D529)),0)),"")</f>
        <v/>
      </c>
    </row>
    <row r="530" spans="2:5" x14ac:dyDescent="0.3">
      <c r="B530" s="87" t="s">
        <v>691</v>
      </c>
      <c r="C530" s="88" t="s">
        <v>826</v>
      </c>
      <c r="D530" s="90" t="s">
        <v>82</v>
      </c>
      <c r="E530" t="str">
        <f>IFERROR(INDEX(Sheet3!$A$2:$A$30,MATCH(TRUE,ISNUMBER(SEARCH(Sheet3!$A$2:$A$30,D530)),0)),"")</f>
        <v/>
      </c>
    </row>
    <row r="531" spans="2:5" x14ac:dyDescent="0.3">
      <c r="B531" s="87" t="s">
        <v>692</v>
      </c>
      <c r="C531" s="88" t="s">
        <v>826</v>
      </c>
      <c r="D531" s="90" t="s">
        <v>37</v>
      </c>
      <c r="E531" t="str">
        <f>IFERROR(INDEX(Sheet3!$A$2:$A$30,MATCH(TRUE,ISNUMBER(SEARCH(Sheet3!$A$2:$A$30,D531)),0)),"")</f>
        <v/>
      </c>
    </row>
    <row r="532" spans="2:5" x14ac:dyDescent="0.3">
      <c r="B532" s="87" t="s">
        <v>693</v>
      </c>
      <c r="C532" s="88" t="s">
        <v>826</v>
      </c>
      <c r="D532" s="90" t="s">
        <v>37</v>
      </c>
      <c r="E532" t="str">
        <f>IFERROR(INDEX(Sheet3!$A$2:$A$30,MATCH(TRUE,ISNUMBER(SEARCH(Sheet3!$A$2:$A$30,D532)),0)),"")</f>
        <v/>
      </c>
    </row>
    <row r="533" spans="2:5" x14ac:dyDescent="0.3">
      <c r="B533" s="87" t="s">
        <v>694</v>
      </c>
      <c r="C533" s="88" t="s">
        <v>827</v>
      </c>
      <c r="D533" s="90" t="s">
        <v>837</v>
      </c>
      <c r="E533" t="str">
        <f>IFERROR(INDEX(Sheet3!$A$2:$A$30,MATCH(TRUE,ISNUMBER(SEARCH(Sheet3!$A$2:$A$30,D533)),0)),"")</f>
        <v/>
      </c>
    </row>
    <row r="534" spans="2:5" x14ac:dyDescent="0.3">
      <c r="B534" s="87" t="s">
        <v>695</v>
      </c>
      <c r="C534" s="88" t="s">
        <v>827</v>
      </c>
      <c r="D534" s="90" t="s">
        <v>82</v>
      </c>
      <c r="E534" t="str">
        <f>IFERROR(INDEX(Sheet3!$A$2:$A$30,MATCH(TRUE,ISNUMBER(SEARCH(Sheet3!$A$2:$A$30,D534)),0)),"")</f>
        <v/>
      </c>
    </row>
    <row r="535" spans="2:5" x14ac:dyDescent="0.3">
      <c r="B535" s="87" t="s">
        <v>696</v>
      </c>
      <c r="C535" s="88" t="s">
        <v>827</v>
      </c>
      <c r="D535" s="90" t="s">
        <v>82</v>
      </c>
      <c r="E535" t="str">
        <f>IFERROR(INDEX(Sheet3!$A$2:$A$30,MATCH(TRUE,ISNUMBER(SEARCH(Sheet3!$A$2:$A$30,D535)),0)),"")</f>
        <v/>
      </c>
    </row>
    <row r="536" spans="2:5" x14ac:dyDescent="0.3">
      <c r="B536" s="87" t="s">
        <v>697</v>
      </c>
      <c r="C536" s="88" t="s">
        <v>827</v>
      </c>
      <c r="D536" s="90" t="s">
        <v>82</v>
      </c>
      <c r="E536" t="str">
        <f>IFERROR(INDEX(Sheet3!$A$2:$A$30,MATCH(TRUE,ISNUMBER(SEARCH(Sheet3!$A$2:$A$30,D536)),0)),"")</f>
        <v/>
      </c>
    </row>
    <row r="537" spans="2:5" x14ac:dyDescent="0.3">
      <c r="B537" s="87" t="s">
        <v>698</v>
      </c>
      <c r="C537" s="88" t="s">
        <v>827</v>
      </c>
      <c r="D537" s="90" t="s">
        <v>82</v>
      </c>
      <c r="E537" t="str">
        <f>IFERROR(INDEX(Sheet3!$A$2:$A$30,MATCH(TRUE,ISNUMBER(SEARCH(Sheet3!$A$2:$A$30,D537)),0)),"")</f>
        <v/>
      </c>
    </row>
    <row r="538" spans="2:5" x14ac:dyDescent="0.3">
      <c r="B538" s="87" t="s">
        <v>699</v>
      </c>
      <c r="C538" s="88" t="s">
        <v>827</v>
      </c>
      <c r="D538" s="90" t="s">
        <v>101</v>
      </c>
      <c r="E538" t="str">
        <f>IFERROR(INDEX(Sheet3!$A$2:$A$30,MATCH(TRUE,ISNUMBER(SEARCH(Sheet3!$A$2:$A$30,D538)),0)),"")</f>
        <v/>
      </c>
    </row>
    <row r="539" spans="2:5" x14ac:dyDescent="0.3">
      <c r="B539" s="87" t="s">
        <v>700</v>
      </c>
      <c r="C539" s="88" t="s">
        <v>827</v>
      </c>
      <c r="D539" s="90" t="s">
        <v>82</v>
      </c>
      <c r="E539" t="str">
        <f>IFERROR(INDEX(Sheet3!$A$2:$A$30,MATCH(TRUE,ISNUMBER(SEARCH(Sheet3!$A$2:$A$30,D539)),0)),"")</f>
        <v/>
      </c>
    </row>
    <row r="540" spans="2:5" x14ac:dyDescent="0.3">
      <c r="B540" s="87" t="s">
        <v>701</v>
      </c>
      <c r="C540" s="88" t="s">
        <v>827</v>
      </c>
      <c r="D540" s="90" t="s">
        <v>112</v>
      </c>
      <c r="E540" t="str">
        <f>IFERROR(INDEX(Sheet3!$A$2:$A$30,MATCH(TRUE,ISNUMBER(SEARCH(Sheet3!$A$2:$A$30,D540)),0)),"")</f>
        <v/>
      </c>
    </row>
    <row r="541" spans="2:5" x14ac:dyDescent="0.3">
      <c r="B541" s="87" t="s">
        <v>702</v>
      </c>
      <c r="C541" s="88" t="s">
        <v>827</v>
      </c>
      <c r="D541" s="90" t="s">
        <v>837</v>
      </c>
      <c r="E541" t="str">
        <f>IFERROR(INDEX(Sheet3!$A$2:$A$30,MATCH(TRUE,ISNUMBER(SEARCH(Sheet3!$A$2:$A$30,D541)),0)),"")</f>
        <v/>
      </c>
    </row>
    <row r="542" spans="2:5" x14ac:dyDescent="0.3">
      <c r="B542" s="87" t="s">
        <v>703</v>
      </c>
      <c r="C542" s="88" t="s">
        <v>827</v>
      </c>
      <c r="D542" s="90" t="s">
        <v>69</v>
      </c>
      <c r="E542" t="str">
        <f>IFERROR(INDEX(Sheet3!$A$2:$A$30,MATCH(TRUE,ISNUMBER(SEARCH(Sheet3!$A$2:$A$30,D542)),0)),"")</f>
        <v/>
      </c>
    </row>
    <row r="543" spans="2:5" x14ac:dyDescent="0.3">
      <c r="B543" s="87" t="s">
        <v>704</v>
      </c>
      <c r="C543" s="88" t="s">
        <v>827</v>
      </c>
      <c r="D543" s="90" t="s">
        <v>112</v>
      </c>
      <c r="E543" t="str">
        <f>IFERROR(INDEX(Sheet3!$A$2:$A$30,MATCH(TRUE,ISNUMBER(SEARCH(Sheet3!$A$2:$A$30,D543)),0)),"")</f>
        <v/>
      </c>
    </row>
    <row r="544" spans="2:5" x14ac:dyDescent="0.3">
      <c r="B544" s="87" t="s">
        <v>705</v>
      </c>
      <c r="C544" s="88" t="s">
        <v>827</v>
      </c>
      <c r="D544" s="90" t="s">
        <v>69</v>
      </c>
      <c r="E544" t="str">
        <f>IFERROR(INDEX(Sheet3!$A$2:$A$30,MATCH(TRUE,ISNUMBER(SEARCH(Sheet3!$A$2:$A$30,D544)),0)),"")</f>
        <v/>
      </c>
    </row>
    <row r="545" spans="2:5" x14ac:dyDescent="0.3">
      <c r="B545" s="87" t="s">
        <v>706</v>
      </c>
      <c r="C545" s="88" t="s">
        <v>827</v>
      </c>
      <c r="D545" s="90" t="s">
        <v>101</v>
      </c>
      <c r="E545" t="str">
        <f>IFERROR(INDEX(Sheet3!$A$2:$A$30,MATCH(TRUE,ISNUMBER(SEARCH(Sheet3!$A$2:$A$30,D545)),0)),"")</f>
        <v/>
      </c>
    </row>
    <row r="546" spans="2:5" x14ac:dyDescent="0.3">
      <c r="B546" s="87" t="s">
        <v>707</v>
      </c>
      <c r="C546" s="88" t="s">
        <v>827</v>
      </c>
      <c r="D546" s="90" t="s">
        <v>835</v>
      </c>
      <c r="E546" t="str">
        <f>IFERROR(INDEX(Sheet3!$A$2:$A$30,MATCH(TRUE,ISNUMBER(SEARCH(Sheet3!$A$2:$A$30,D546)),0)),"")</f>
        <v/>
      </c>
    </row>
    <row r="547" spans="2:5" x14ac:dyDescent="0.3">
      <c r="B547" s="87" t="s">
        <v>708</v>
      </c>
      <c r="C547" s="88" t="s">
        <v>827</v>
      </c>
      <c r="D547" s="90" t="s">
        <v>835</v>
      </c>
      <c r="E547" t="str">
        <f>IFERROR(INDEX(Sheet3!$A$2:$A$30,MATCH(TRUE,ISNUMBER(SEARCH(Sheet3!$A$2:$A$30,D547)),0)),"")</f>
        <v/>
      </c>
    </row>
    <row r="548" spans="2:5" x14ac:dyDescent="0.3">
      <c r="B548" s="87" t="s">
        <v>709</v>
      </c>
      <c r="C548" s="88" t="s">
        <v>827</v>
      </c>
      <c r="D548" s="90" t="s">
        <v>835</v>
      </c>
      <c r="E548" t="str">
        <f>IFERROR(INDEX(Sheet3!$A$2:$A$30,MATCH(TRUE,ISNUMBER(SEARCH(Sheet3!$A$2:$A$30,D548)),0)),"")</f>
        <v/>
      </c>
    </row>
    <row r="549" spans="2:5" x14ac:dyDescent="0.3">
      <c r="B549" s="87" t="s">
        <v>710</v>
      </c>
      <c r="C549" s="88" t="s">
        <v>827</v>
      </c>
      <c r="D549" s="90" t="s">
        <v>82</v>
      </c>
      <c r="E549" t="str">
        <f>IFERROR(INDEX(Sheet3!$A$2:$A$30,MATCH(TRUE,ISNUMBER(SEARCH(Sheet3!$A$2:$A$30,D549)),0)),"")</f>
        <v/>
      </c>
    </row>
    <row r="550" spans="2:5" x14ac:dyDescent="0.3">
      <c r="B550" s="87" t="s">
        <v>711</v>
      </c>
      <c r="C550" s="88" t="s">
        <v>827</v>
      </c>
      <c r="D550" s="90" t="s">
        <v>832</v>
      </c>
      <c r="E550" t="str">
        <f>IFERROR(INDEX(Sheet3!$A$2:$A$30,MATCH(TRUE,ISNUMBER(SEARCH(Sheet3!$A$2:$A$30,D550)),0)),"")</f>
        <v/>
      </c>
    </row>
    <row r="551" spans="2:5" x14ac:dyDescent="0.3">
      <c r="B551" s="87" t="s">
        <v>712</v>
      </c>
      <c r="C551" s="88" t="s">
        <v>827</v>
      </c>
      <c r="D551" s="90" t="s">
        <v>75</v>
      </c>
      <c r="E551" t="str">
        <f>IFERROR(INDEX(Sheet3!$A$2:$A$30,MATCH(TRUE,ISNUMBER(SEARCH(Sheet3!$A$2:$A$30,D551)),0)),"")</f>
        <v/>
      </c>
    </row>
    <row r="552" spans="2:5" x14ac:dyDescent="0.3">
      <c r="B552" s="87" t="s">
        <v>713</v>
      </c>
      <c r="C552" s="88" t="s">
        <v>827</v>
      </c>
      <c r="D552" s="90" t="s">
        <v>842</v>
      </c>
      <c r="E552" t="str">
        <f>IFERROR(INDEX(Sheet3!$A$2:$A$30,MATCH(TRUE,ISNUMBER(SEARCH(Sheet3!$A$2:$A$30,D552)),0)),"")</f>
        <v/>
      </c>
    </row>
    <row r="553" spans="2:5" x14ac:dyDescent="0.3">
      <c r="B553" s="87" t="s">
        <v>714</v>
      </c>
      <c r="C553" s="88" t="s">
        <v>827</v>
      </c>
      <c r="D553" s="90" t="s">
        <v>75</v>
      </c>
      <c r="E553" t="str">
        <f>IFERROR(INDEX(Sheet3!$A$2:$A$30,MATCH(TRUE,ISNUMBER(SEARCH(Sheet3!$A$2:$A$30,D553)),0)),"")</f>
        <v/>
      </c>
    </row>
    <row r="554" spans="2:5" x14ac:dyDescent="0.3">
      <c r="B554" s="87" t="s">
        <v>715</v>
      </c>
      <c r="C554" s="88" t="s">
        <v>827</v>
      </c>
      <c r="D554" s="90" t="s">
        <v>837</v>
      </c>
      <c r="E554" t="str">
        <f>IFERROR(INDEX(Sheet3!$A$2:$A$30,MATCH(TRUE,ISNUMBER(SEARCH(Sheet3!$A$2:$A$30,D554)),0)),"")</f>
        <v/>
      </c>
    </row>
    <row r="555" spans="2:5" x14ac:dyDescent="0.3">
      <c r="B555" s="87" t="s">
        <v>716</v>
      </c>
      <c r="C555" s="88" t="s">
        <v>827</v>
      </c>
      <c r="D555" s="90" t="s">
        <v>69</v>
      </c>
      <c r="E555" t="str">
        <f>IFERROR(INDEX(Sheet3!$A$2:$A$30,MATCH(TRUE,ISNUMBER(SEARCH(Sheet3!$A$2:$A$30,D555)),0)),"")</f>
        <v/>
      </c>
    </row>
    <row r="556" spans="2:5" x14ac:dyDescent="0.3">
      <c r="B556" s="87" t="s">
        <v>717</v>
      </c>
      <c r="C556" s="88" t="s">
        <v>827</v>
      </c>
      <c r="D556" s="90" t="s">
        <v>109</v>
      </c>
      <c r="E556" t="str">
        <f>IFERROR(INDEX(Sheet3!$A$2:$A$30,MATCH(TRUE,ISNUMBER(SEARCH(Sheet3!$A$2:$A$30,D556)),0)),"")</f>
        <v/>
      </c>
    </row>
    <row r="557" spans="2:5" x14ac:dyDescent="0.3">
      <c r="B557" s="87" t="s">
        <v>718</v>
      </c>
      <c r="C557" s="88" t="s">
        <v>827</v>
      </c>
      <c r="D557" s="90" t="s">
        <v>82</v>
      </c>
      <c r="E557" t="str">
        <f>IFERROR(INDEX(Sheet3!$A$2:$A$30,MATCH(TRUE,ISNUMBER(SEARCH(Sheet3!$A$2:$A$30,D557)),0)),"")</f>
        <v/>
      </c>
    </row>
    <row r="558" spans="2:5" x14ac:dyDescent="0.3">
      <c r="B558" s="87" t="s">
        <v>719</v>
      </c>
      <c r="C558" s="88" t="s">
        <v>827</v>
      </c>
      <c r="D558" s="90" t="s">
        <v>75</v>
      </c>
      <c r="E558" t="str">
        <f>IFERROR(INDEX(Sheet3!$A$2:$A$30,MATCH(TRUE,ISNUMBER(SEARCH(Sheet3!$A$2:$A$30,D558)),0)),"")</f>
        <v/>
      </c>
    </row>
    <row r="559" spans="2:5" x14ac:dyDescent="0.3">
      <c r="B559" s="87" t="s">
        <v>720</v>
      </c>
      <c r="C559" s="88" t="s">
        <v>827</v>
      </c>
      <c r="D559" s="90" t="s">
        <v>40</v>
      </c>
      <c r="E559" t="str">
        <f>IFERROR(INDEX(Sheet3!$A$2:$A$30,MATCH(TRUE,ISNUMBER(SEARCH(Sheet3!$A$2:$A$30,D559)),0)),"")</f>
        <v/>
      </c>
    </row>
    <row r="560" spans="2:5" x14ac:dyDescent="0.3">
      <c r="B560" s="87" t="s">
        <v>721</v>
      </c>
      <c r="C560" s="88" t="s">
        <v>827</v>
      </c>
      <c r="D560" s="90" t="s">
        <v>82</v>
      </c>
      <c r="E560" t="str">
        <f>IFERROR(INDEX(Sheet3!$A$2:$A$30,MATCH(TRUE,ISNUMBER(SEARCH(Sheet3!$A$2:$A$30,D560)),0)),"")</f>
        <v/>
      </c>
    </row>
    <row r="561" spans="2:5" x14ac:dyDescent="0.3">
      <c r="B561" s="87" t="s">
        <v>722</v>
      </c>
      <c r="C561" s="88" t="s">
        <v>827</v>
      </c>
      <c r="D561" s="90" t="s">
        <v>835</v>
      </c>
      <c r="E561" t="str">
        <f>IFERROR(INDEX(Sheet3!$A$2:$A$30,MATCH(TRUE,ISNUMBER(SEARCH(Sheet3!$A$2:$A$30,D561)),0)),"")</f>
        <v/>
      </c>
    </row>
    <row r="562" spans="2:5" x14ac:dyDescent="0.3">
      <c r="B562" s="87" t="s">
        <v>723</v>
      </c>
      <c r="C562" s="88" t="s">
        <v>827</v>
      </c>
      <c r="D562" s="90" t="s">
        <v>96</v>
      </c>
      <c r="E562" t="str">
        <f>IFERROR(INDEX(Sheet3!$A$2:$A$30,MATCH(TRUE,ISNUMBER(SEARCH(Sheet3!$A$2:$A$30,D562)),0)),"")</f>
        <v/>
      </c>
    </row>
    <row r="563" spans="2:5" x14ac:dyDescent="0.3">
      <c r="B563" s="87" t="s">
        <v>724</v>
      </c>
      <c r="C563" s="88" t="s">
        <v>827</v>
      </c>
      <c r="D563" s="90" t="s">
        <v>96</v>
      </c>
      <c r="E563" t="str">
        <f>IFERROR(INDEX(Sheet3!$A$2:$A$30,MATCH(TRUE,ISNUMBER(SEARCH(Sheet3!$A$2:$A$30,D563)),0)),"")</f>
        <v/>
      </c>
    </row>
    <row r="564" spans="2:5" x14ac:dyDescent="0.3">
      <c r="B564" s="87" t="s">
        <v>725</v>
      </c>
      <c r="C564" s="88" t="s">
        <v>828</v>
      </c>
      <c r="D564" s="90" t="s">
        <v>832</v>
      </c>
      <c r="E564" t="str">
        <f>IFERROR(INDEX(Sheet3!$A$2:$A$30,MATCH(TRUE,ISNUMBER(SEARCH(Sheet3!$A$2:$A$30,D564)),0)),"")</f>
        <v/>
      </c>
    </row>
    <row r="565" spans="2:5" x14ac:dyDescent="0.3">
      <c r="B565" s="87" t="s">
        <v>726</v>
      </c>
      <c r="C565" s="88" t="s">
        <v>828</v>
      </c>
      <c r="D565" s="90" t="s">
        <v>98</v>
      </c>
      <c r="E565" t="str">
        <f>IFERROR(INDEX(Sheet3!$A$2:$A$30,MATCH(TRUE,ISNUMBER(SEARCH(Sheet3!$A$2:$A$30,D565)),0)),"")</f>
        <v/>
      </c>
    </row>
    <row r="566" spans="2:5" x14ac:dyDescent="0.3">
      <c r="B566" s="87" t="s">
        <v>727</v>
      </c>
      <c r="C566" s="88" t="s">
        <v>828</v>
      </c>
      <c r="D566" s="90" t="s">
        <v>99</v>
      </c>
      <c r="E566" t="str">
        <f>IFERROR(INDEX(Sheet3!$A$2:$A$30,MATCH(TRUE,ISNUMBER(SEARCH(Sheet3!$A$2:$A$30,D566)),0)),"")</f>
        <v/>
      </c>
    </row>
    <row r="567" spans="2:5" x14ac:dyDescent="0.3">
      <c r="B567" s="87" t="s">
        <v>728</v>
      </c>
      <c r="C567" s="88" t="s">
        <v>828</v>
      </c>
      <c r="D567" s="90" t="s">
        <v>3</v>
      </c>
      <c r="E567" t="str">
        <f>IFERROR(INDEX(Sheet3!$A$2:$A$30,MATCH(TRUE,ISNUMBER(SEARCH(Sheet3!$A$2:$A$30,D567)),0)),"")</f>
        <v/>
      </c>
    </row>
    <row r="568" spans="2:5" x14ac:dyDescent="0.3">
      <c r="B568" s="87" t="s">
        <v>729</v>
      </c>
      <c r="C568" s="88" t="s">
        <v>828</v>
      </c>
      <c r="D568" s="90" t="s">
        <v>98</v>
      </c>
      <c r="E568" t="str">
        <f>IFERROR(INDEX(Sheet3!$A$2:$A$30,MATCH(TRUE,ISNUMBER(SEARCH(Sheet3!$A$2:$A$30,D568)),0)),"")</f>
        <v/>
      </c>
    </row>
    <row r="569" spans="2:5" x14ac:dyDescent="0.3">
      <c r="B569" s="87" t="s">
        <v>730</v>
      </c>
      <c r="C569" s="88" t="s">
        <v>828</v>
      </c>
      <c r="D569" s="90" t="s">
        <v>96</v>
      </c>
      <c r="E569" t="str">
        <f>IFERROR(INDEX(Sheet3!$A$2:$A$30,MATCH(TRUE,ISNUMBER(SEARCH(Sheet3!$A$2:$A$30,D569)),0)),"")</f>
        <v/>
      </c>
    </row>
    <row r="570" spans="2:5" x14ac:dyDescent="0.3">
      <c r="B570" s="87" t="s">
        <v>731</v>
      </c>
      <c r="C570" s="88" t="s">
        <v>828</v>
      </c>
      <c r="D570" s="90" t="s">
        <v>97</v>
      </c>
      <c r="E570" t="str">
        <f>IFERROR(INDEX(Sheet3!$A$2:$A$30,MATCH(TRUE,ISNUMBER(SEARCH(Sheet3!$A$2:$A$30,D570)),0)),"")</f>
        <v/>
      </c>
    </row>
    <row r="571" spans="2:5" x14ac:dyDescent="0.3">
      <c r="B571" s="87" t="s">
        <v>732</v>
      </c>
      <c r="C571" s="88" t="s">
        <v>828</v>
      </c>
      <c r="D571" s="90" t="s">
        <v>75</v>
      </c>
      <c r="E571" t="str">
        <f>IFERROR(INDEX(Sheet3!$A$2:$A$30,MATCH(TRUE,ISNUMBER(SEARCH(Sheet3!$A$2:$A$30,D571)),0)),"")</f>
        <v/>
      </c>
    </row>
    <row r="572" spans="2:5" x14ac:dyDescent="0.3">
      <c r="B572" s="87" t="s">
        <v>733</v>
      </c>
      <c r="C572" s="88" t="s">
        <v>828</v>
      </c>
      <c r="D572" s="90" t="s">
        <v>98</v>
      </c>
      <c r="E572" t="str">
        <f>IFERROR(INDEX(Sheet3!$A$2:$A$30,MATCH(TRUE,ISNUMBER(SEARCH(Sheet3!$A$2:$A$30,D572)),0)),"")</f>
        <v/>
      </c>
    </row>
    <row r="573" spans="2:5" x14ac:dyDescent="0.3">
      <c r="B573" s="87" t="s">
        <v>734</v>
      </c>
      <c r="C573" s="88" t="s">
        <v>828</v>
      </c>
      <c r="D573" s="90" t="s">
        <v>838</v>
      </c>
      <c r="E573" t="str">
        <f>IFERROR(INDEX(Sheet3!$A$2:$A$30,MATCH(TRUE,ISNUMBER(SEARCH(Sheet3!$A$2:$A$30,D573)),0)),"")</f>
        <v/>
      </c>
    </row>
    <row r="574" spans="2:5" x14ac:dyDescent="0.3">
      <c r="B574" s="87" t="s">
        <v>735</v>
      </c>
      <c r="C574" s="88" t="s">
        <v>828</v>
      </c>
      <c r="D574" s="90" t="s">
        <v>96</v>
      </c>
      <c r="E574" t="str">
        <f>IFERROR(INDEX(Sheet3!$A$2:$A$30,MATCH(TRUE,ISNUMBER(SEARCH(Sheet3!$A$2:$A$30,D574)),0)),"")</f>
        <v/>
      </c>
    </row>
    <row r="575" spans="2:5" x14ac:dyDescent="0.3">
      <c r="B575" s="87" t="s">
        <v>736</v>
      </c>
      <c r="C575" s="88" t="s">
        <v>828</v>
      </c>
      <c r="D575" s="90" t="s">
        <v>109</v>
      </c>
      <c r="E575" t="str">
        <f>IFERROR(INDEX(Sheet3!$A$2:$A$30,MATCH(TRUE,ISNUMBER(SEARCH(Sheet3!$A$2:$A$30,D575)),0)),"")</f>
        <v/>
      </c>
    </row>
    <row r="576" spans="2:5" x14ac:dyDescent="0.3">
      <c r="B576" s="87" t="s">
        <v>737</v>
      </c>
      <c r="C576" s="88" t="s">
        <v>828</v>
      </c>
      <c r="D576" s="90" t="s">
        <v>3</v>
      </c>
      <c r="E576" t="str">
        <f>IFERROR(INDEX(Sheet3!$A$2:$A$30,MATCH(TRUE,ISNUMBER(SEARCH(Sheet3!$A$2:$A$30,D576)),0)),"")</f>
        <v/>
      </c>
    </row>
    <row r="577" spans="2:5" x14ac:dyDescent="0.3">
      <c r="B577" s="87" t="s">
        <v>738</v>
      </c>
      <c r="C577" s="88" t="s">
        <v>828</v>
      </c>
      <c r="D577" s="90" t="s">
        <v>99</v>
      </c>
      <c r="E577" t="str">
        <f>IFERROR(INDEX(Sheet3!$A$2:$A$30,MATCH(TRUE,ISNUMBER(SEARCH(Sheet3!$A$2:$A$30,D577)),0)),"")</f>
        <v/>
      </c>
    </row>
    <row r="578" spans="2:5" x14ac:dyDescent="0.3">
      <c r="B578" s="87" t="s">
        <v>739</v>
      </c>
      <c r="C578" s="88" t="s">
        <v>828</v>
      </c>
      <c r="D578" s="90" t="s">
        <v>99</v>
      </c>
      <c r="E578" t="str">
        <f>IFERROR(INDEX(Sheet3!$A$2:$A$30,MATCH(TRUE,ISNUMBER(SEARCH(Sheet3!$A$2:$A$30,D578)),0)),"")</f>
        <v/>
      </c>
    </row>
    <row r="579" spans="2:5" x14ac:dyDescent="0.3">
      <c r="B579" s="87" t="s">
        <v>740</v>
      </c>
      <c r="C579" s="88" t="s">
        <v>828</v>
      </c>
      <c r="D579" s="90" t="s">
        <v>3</v>
      </c>
      <c r="E579" t="str">
        <f>IFERROR(INDEX(Sheet3!$A$2:$A$30,MATCH(TRUE,ISNUMBER(SEARCH(Sheet3!$A$2:$A$30,D579)),0)),"")</f>
        <v/>
      </c>
    </row>
    <row r="580" spans="2:5" x14ac:dyDescent="0.3">
      <c r="B580" s="87" t="s">
        <v>741</v>
      </c>
      <c r="C580" s="88" t="s">
        <v>828</v>
      </c>
      <c r="D580" s="90" t="s">
        <v>37</v>
      </c>
      <c r="E580" t="str">
        <f>IFERROR(INDEX(Sheet3!$A$2:$A$30,MATCH(TRUE,ISNUMBER(SEARCH(Sheet3!$A$2:$A$30,D580)),0)),"")</f>
        <v/>
      </c>
    </row>
    <row r="581" spans="2:5" x14ac:dyDescent="0.3">
      <c r="B581" s="87" t="s">
        <v>742</v>
      </c>
      <c r="C581" s="88" t="s">
        <v>828</v>
      </c>
      <c r="D581" s="90" t="s">
        <v>37</v>
      </c>
      <c r="E581" t="str">
        <f>IFERROR(INDEX(Sheet3!$A$2:$A$30,MATCH(TRUE,ISNUMBER(SEARCH(Sheet3!$A$2:$A$30,D581)),0)),"")</f>
        <v/>
      </c>
    </row>
    <row r="582" spans="2:5" x14ac:dyDescent="0.3">
      <c r="B582" s="87" t="s">
        <v>743</v>
      </c>
      <c r="C582" s="88" t="s">
        <v>828</v>
      </c>
      <c r="D582" s="90" t="s">
        <v>837</v>
      </c>
      <c r="E582" t="str">
        <f>IFERROR(INDEX(Sheet3!$A$2:$A$30,MATCH(TRUE,ISNUMBER(SEARCH(Sheet3!$A$2:$A$30,D582)),0)),"")</f>
        <v/>
      </c>
    </row>
    <row r="583" spans="2:5" x14ac:dyDescent="0.3">
      <c r="B583" s="87" t="s">
        <v>744</v>
      </c>
      <c r="C583" s="88" t="s">
        <v>828</v>
      </c>
      <c r="D583" s="90" t="s">
        <v>835</v>
      </c>
      <c r="E583" t="str">
        <f>IFERROR(INDEX(Sheet3!$A$2:$A$30,MATCH(TRUE,ISNUMBER(SEARCH(Sheet3!$A$2:$A$30,D583)),0)),"")</f>
        <v/>
      </c>
    </row>
    <row r="584" spans="2:5" x14ac:dyDescent="0.3">
      <c r="B584" s="87" t="s">
        <v>745</v>
      </c>
      <c r="C584" s="88" t="s">
        <v>828</v>
      </c>
      <c r="D584" s="90" t="s">
        <v>37</v>
      </c>
      <c r="E584" t="str">
        <f>IFERROR(INDEX(Sheet3!$A$2:$A$30,MATCH(TRUE,ISNUMBER(SEARCH(Sheet3!$A$2:$A$30,D584)),0)),"")</f>
        <v/>
      </c>
    </row>
    <row r="585" spans="2:5" x14ac:dyDescent="0.3">
      <c r="B585" s="87" t="s">
        <v>746</v>
      </c>
      <c r="C585" s="88" t="s">
        <v>828</v>
      </c>
      <c r="D585" s="90" t="s">
        <v>110</v>
      </c>
      <c r="E585" t="str">
        <f>IFERROR(INDEX(Sheet3!$A$2:$A$30,MATCH(TRUE,ISNUMBER(SEARCH(Sheet3!$A$2:$A$30,D585)),0)),"")</f>
        <v/>
      </c>
    </row>
    <row r="586" spans="2:5" x14ac:dyDescent="0.3">
      <c r="B586" s="87" t="s">
        <v>747</v>
      </c>
      <c r="C586" s="88" t="s">
        <v>828</v>
      </c>
      <c r="D586" s="90" t="s">
        <v>97</v>
      </c>
      <c r="E586" t="str">
        <f>IFERROR(INDEX(Sheet3!$A$2:$A$30,MATCH(TRUE,ISNUMBER(SEARCH(Sheet3!$A$2:$A$30,D586)),0)),"")</f>
        <v/>
      </c>
    </row>
    <row r="587" spans="2:5" x14ac:dyDescent="0.3">
      <c r="B587" s="87" t="s">
        <v>748</v>
      </c>
      <c r="C587" s="88" t="s">
        <v>828</v>
      </c>
      <c r="D587" s="90" t="s">
        <v>96</v>
      </c>
      <c r="E587" t="str">
        <f>IFERROR(INDEX(Sheet3!$A$2:$A$30,MATCH(TRUE,ISNUMBER(SEARCH(Sheet3!$A$2:$A$30,D587)),0)),"")</f>
        <v/>
      </c>
    </row>
    <row r="588" spans="2:5" x14ac:dyDescent="0.3">
      <c r="B588" s="87" t="s">
        <v>749</v>
      </c>
      <c r="C588" s="88" t="s">
        <v>828</v>
      </c>
      <c r="D588" s="90" t="s">
        <v>97</v>
      </c>
      <c r="E588" t="str">
        <f>IFERROR(INDEX(Sheet3!$A$2:$A$30,MATCH(TRUE,ISNUMBER(SEARCH(Sheet3!$A$2:$A$30,D588)),0)),"")</f>
        <v/>
      </c>
    </row>
    <row r="589" spans="2:5" x14ac:dyDescent="0.3">
      <c r="B589" s="87" t="s">
        <v>750</v>
      </c>
      <c r="C589" s="88" t="s">
        <v>828</v>
      </c>
      <c r="D589" s="90" t="s">
        <v>98</v>
      </c>
      <c r="E589" t="str">
        <f>IFERROR(INDEX(Sheet3!$A$2:$A$30,MATCH(TRUE,ISNUMBER(SEARCH(Sheet3!$A$2:$A$30,D589)),0)),"")</f>
        <v/>
      </c>
    </row>
    <row r="590" spans="2:5" x14ac:dyDescent="0.3">
      <c r="B590" s="87" t="s">
        <v>751</v>
      </c>
      <c r="C590" s="88" t="s">
        <v>828</v>
      </c>
      <c r="D590" s="90" t="s">
        <v>3</v>
      </c>
      <c r="E590" t="str">
        <f>IFERROR(INDEX(Sheet3!$A$2:$A$30,MATCH(TRUE,ISNUMBER(SEARCH(Sheet3!$A$2:$A$30,D590)),0)),"")</f>
        <v/>
      </c>
    </row>
    <row r="591" spans="2:5" x14ac:dyDescent="0.3">
      <c r="B591" s="87" t="s">
        <v>752</v>
      </c>
      <c r="C591" s="88" t="s">
        <v>829</v>
      </c>
      <c r="D591" s="90" t="s">
        <v>837</v>
      </c>
      <c r="E591" t="str">
        <f>IFERROR(INDEX(Sheet3!$A$2:$A$30,MATCH(TRUE,ISNUMBER(SEARCH(Sheet3!$A$2:$A$30,D591)),0)),"")</f>
        <v/>
      </c>
    </row>
    <row r="592" spans="2:5" x14ac:dyDescent="0.3">
      <c r="B592" s="87" t="s">
        <v>753</v>
      </c>
      <c r="C592" s="88" t="s">
        <v>829</v>
      </c>
      <c r="D592" s="90" t="s">
        <v>98</v>
      </c>
      <c r="E592" t="str">
        <f>IFERROR(INDEX(Sheet3!$A$2:$A$30,MATCH(TRUE,ISNUMBER(SEARCH(Sheet3!$A$2:$A$30,D592)),0)),"")</f>
        <v/>
      </c>
    </row>
    <row r="593" spans="2:5" x14ac:dyDescent="0.3">
      <c r="B593" s="87" t="s">
        <v>754</v>
      </c>
      <c r="C593" s="88" t="s">
        <v>829</v>
      </c>
      <c r="D593" s="90"/>
      <c r="E593" t="str">
        <f>IFERROR(INDEX(Sheet3!$A$2:$A$30,MATCH(TRUE,ISNUMBER(SEARCH(Sheet3!$A$2:$A$30,D593)),0)),"")</f>
        <v/>
      </c>
    </row>
    <row r="594" spans="2:5" x14ac:dyDescent="0.3">
      <c r="B594" s="87" t="s">
        <v>755</v>
      </c>
      <c r="C594" s="88" t="s">
        <v>829</v>
      </c>
      <c r="D594" s="90" t="s">
        <v>837</v>
      </c>
      <c r="E594" t="str">
        <f>IFERROR(INDEX(Sheet3!$A$2:$A$30,MATCH(TRUE,ISNUMBER(SEARCH(Sheet3!$A$2:$A$30,D594)),0)),"")</f>
        <v/>
      </c>
    </row>
    <row r="595" spans="2:5" x14ac:dyDescent="0.3">
      <c r="B595" s="87" t="s">
        <v>756</v>
      </c>
      <c r="C595" s="88" t="s">
        <v>829</v>
      </c>
      <c r="D595" s="90" t="s">
        <v>37</v>
      </c>
      <c r="E595" t="str">
        <f>IFERROR(INDEX(Sheet3!$A$2:$A$30,MATCH(TRUE,ISNUMBER(SEARCH(Sheet3!$A$2:$A$30,D595)),0)),"")</f>
        <v/>
      </c>
    </row>
    <row r="596" spans="2:5" x14ac:dyDescent="0.3">
      <c r="B596" s="87" t="s">
        <v>757</v>
      </c>
      <c r="C596" s="88" t="s">
        <v>829</v>
      </c>
      <c r="D596" s="90" t="s">
        <v>98</v>
      </c>
      <c r="E596" t="str">
        <f>IFERROR(INDEX(Sheet3!$A$2:$A$30,MATCH(TRUE,ISNUMBER(SEARCH(Sheet3!$A$2:$A$30,D596)),0)),"")</f>
        <v/>
      </c>
    </row>
    <row r="597" spans="2:5" x14ac:dyDescent="0.3">
      <c r="B597" s="87" t="s">
        <v>758</v>
      </c>
      <c r="C597" s="88" t="s">
        <v>829</v>
      </c>
      <c r="D597" s="90" t="s">
        <v>98</v>
      </c>
      <c r="E597" t="str">
        <f>IFERROR(INDEX(Sheet3!$A$2:$A$30,MATCH(TRUE,ISNUMBER(SEARCH(Sheet3!$A$2:$A$30,D597)),0)),"")</f>
        <v/>
      </c>
    </row>
    <row r="598" spans="2:5" x14ac:dyDescent="0.3">
      <c r="B598" s="87" t="s">
        <v>759</v>
      </c>
      <c r="C598" s="88" t="s">
        <v>829</v>
      </c>
      <c r="D598" s="90" t="s">
        <v>838</v>
      </c>
      <c r="E598" t="str">
        <f>IFERROR(INDEX(Sheet3!$A$2:$A$30,MATCH(TRUE,ISNUMBER(SEARCH(Sheet3!$A$2:$A$30,D598)),0)),"")</f>
        <v/>
      </c>
    </row>
    <row r="599" spans="2:5" x14ac:dyDescent="0.3">
      <c r="B599" s="87" t="s">
        <v>760</v>
      </c>
      <c r="C599" s="88" t="s">
        <v>829</v>
      </c>
      <c r="D599" s="90" t="s">
        <v>37</v>
      </c>
      <c r="E599" t="str">
        <f>IFERROR(INDEX(Sheet3!$A$2:$A$30,MATCH(TRUE,ISNUMBER(SEARCH(Sheet3!$A$2:$A$30,D599)),0)),"")</f>
        <v/>
      </c>
    </row>
    <row r="600" spans="2:5" x14ac:dyDescent="0.3">
      <c r="B600" s="87" t="s">
        <v>761</v>
      </c>
      <c r="C600" s="88" t="s">
        <v>829</v>
      </c>
      <c r="D600" s="90" t="s">
        <v>98</v>
      </c>
      <c r="E600" t="str">
        <f>IFERROR(INDEX(Sheet3!$A$2:$A$30,MATCH(TRUE,ISNUMBER(SEARCH(Sheet3!$A$2:$A$30,D600)),0)),"")</f>
        <v/>
      </c>
    </row>
    <row r="601" spans="2:5" x14ac:dyDescent="0.3">
      <c r="B601" s="87" t="s">
        <v>762</v>
      </c>
      <c r="C601" s="88" t="s">
        <v>829</v>
      </c>
      <c r="D601" s="90" t="s">
        <v>835</v>
      </c>
      <c r="E601" t="str">
        <f>IFERROR(INDEX(Sheet3!$A$2:$A$30,MATCH(TRUE,ISNUMBER(SEARCH(Sheet3!$A$2:$A$30,D601)),0)),"")</f>
        <v/>
      </c>
    </row>
    <row r="602" spans="2:5" x14ac:dyDescent="0.3">
      <c r="B602" s="87" t="s">
        <v>763</v>
      </c>
      <c r="C602" s="88" t="s">
        <v>829</v>
      </c>
      <c r="D602" s="90" t="s">
        <v>29</v>
      </c>
      <c r="E602" t="str">
        <f>IFERROR(INDEX(Sheet3!$A$2:$A$30,MATCH(TRUE,ISNUMBER(SEARCH(Sheet3!$A$2:$A$30,D602)),0)),"")</f>
        <v/>
      </c>
    </row>
    <row r="603" spans="2:5" x14ac:dyDescent="0.3">
      <c r="B603" s="87" t="s">
        <v>764</v>
      </c>
      <c r="C603" s="88" t="s">
        <v>829</v>
      </c>
      <c r="D603" s="90" t="s">
        <v>3</v>
      </c>
      <c r="E603" t="str">
        <f>IFERROR(INDEX(Sheet3!$A$2:$A$30,MATCH(TRUE,ISNUMBER(SEARCH(Sheet3!$A$2:$A$30,D603)),0)),"")</f>
        <v/>
      </c>
    </row>
    <row r="604" spans="2:5" x14ac:dyDescent="0.3">
      <c r="B604" s="87" t="s">
        <v>765</v>
      </c>
      <c r="C604" s="88" t="s">
        <v>829</v>
      </c>
      <c r="D604" s="90" t="s">
        <v>29</v>
      </c>
      <c r="E604" t="str">
        <f>IFERROR(INDEX(Sheet3!$A$2:$A$30,MATCH(TRUE,ISNUMBER(SEARCH(Sheet3!$A$2:$A$30,D604)),0)),"")</f>
        <v/>
      </c>
    </row>
    <row r="605" spans="2:5" x14ac:dyDescent="0.3">
      <c r="B605" s="87" t="s">
        <v>766</v>
      </c>
      <c r="C605" s="88" t="s">
        <v>829</v>
      </c>
      <c r="D605" s="90" t="s">
        <v>98</v>
      </c>
      <c r="E605" t="str">
        <f>IFERROR(INDEX(Sheet3!$A$2:$A$30,MATCH(TRUE,ISNUMBER(SEARCH(Sheet3!$A$2:$A$30,D605)),0)),"")</f>
        <v/>
      </c>
    </row>
    <row r="606" spans="2:5" x14ac:dyDescent="0.3">
      <c r="B606" s="87" t="s">
        <v>767</v>
      </c>
      <c r="C606" s="88" t="s">
        <v>829</v>
      </c>
      <c r="D606" s="90" t="s">
        <v>835</v>
      </c>
      <c r="E606" t="str">
        <f>IFERROR(INDEX(Sheet3!$A$2:$A$30,MATCH(TRUE,ISNUMBER(SEARCH(Sheet3!$A$2:$A$30,D606)),0)),"")</f>
        <v/>
      </c>
    </row>
    <row r="607" spans="2:5" x14ac:dyDescent="0.3">
      <c r="B607" s="87" t="s">
        <v>768</v>
      </c>
      <c r="C607" s="88" t="s">
        <v>829</v>
      </c>
      <c r="D607" s="90" t="s">
        <v>832</v>
      </c>
      <c r="E607" t="str">
        <f>IFERROR(INDEX(Sheet3!$A$2:$A$30,MATCH(TRUE,ISNUMBER(SEARCH(Sheet3!$A$2:$A$30,D607)),0)),"")</f>
        <v/>
      </c>
    </row>
    <row r="608" spans="2:5" x14ac:dyDescent="0.3">
      <c r="B608" s="87" t="s">
        <v>769</v>
      </c>
      <c r="C608" s="88" t="s">
        <v>829</v>
      </c>
      <c r="D608" s="90" t="s">
        <v>37</v>
      </c>
      <c r="E608" t="str">
        <f>IFERROR(INDEX(Sheet3!$A$2:$A$30,MATCH(TRUE,ISNUMBER(SEARCH(Sheet3!$A$2:$A$30,D608)),0)),"")</f>
        <v/>
      </c>
    </row>
    <row r="609" spans="2:5" x14ac:dyDescent="0.3">
      <c r="B609" s="87" t="s">
        <v>770</v>
      </c>
      <c r="C609" s="88" t="s">
        <v>829</v>
      </c>
      <c r="D609" s="90" t="s">
        <v>840</v>
      </c>
      <c r="E609" t="str">
        <f>IFERROR(INDEX(Sheet3!$A$2:$A$30,MATCH(TRUE,ISNUMBER(SEARCH(Sheet3!$A$2:$A$30,D609)),0)),"")</f>
        <v/>
      </c>
    </row>
    <row r="610" spans="2:5" x14ac:dyDescent="0.3">
      <c r="B610" s="87" t="s">
        <v>771</v>
      </c>
      <c r="C610" s="88" t="s">
        <v>829</v>
      </c>
      <c r="D610" s="90" t="s">
        <v>3</v>
      </c>
      <c r="E610" t="str">
        <f>IFERROR(INDEX(Sheet3!$A$2:$A$30,MATCH(TRUE,ISNUMBER(SEARCH(Sheet3!$A$2:$A$30,D610)),0)),"")</f>
        <v/>
      </c>
    </row>
    <row r="611" spans="2:5" x14ac:dyDescent="0.3">
      <c r="B611" s="87" t="s">
        <v>772</v>
      </c>
      <c r="C611" s="88" t="s">
        <v>829</v>
      </c>
      <c r="D611" s="90" t="s">
        <v>832</v>
      </c>
      <c r="E611" t="str">
        <f>IFERROR(INDEX(Sheet3!$A$2:$A$30,MATCH(TRUE,ISNUMBER(SEARCH(Sheet3!$A$2:$A$30,D611)),0)),"")</f>
        <v/>
      </c>
    </row>
    <row r="612" spans="2:5" x14ac:dyDescent="0.3">
      <c r="B612" s="87" t="s">
        <v>773</v>
      </c>
      <c r="C612" s="88" t="s">
        <v>829</v>
      </c>
      <c r="D612" s="90" t="s">
        <v>840</v>
      </c>
      <c r="E612" t="str">
        <f>IFERROR(INDEX(Sheet3!$A$2:$A$30,MATCH(TRUE,ISNUMBER(SEARCH(Sheet3!$A$2:$A$30,D612)),0)),"")</f>
        <v/>
      </c>
    </row>
    <row r="613" spans="2:5" x14ac:dyDescent="0.3">
      <c r="B613" s="87" t="s">
        <v>774</v>
      </c>
      <c r="C613" s="88" t="s">
        <v>829</v>
      </c>
      <c r="D613" s="90"/>
      <c r="E613" t="str">
        <f>IFERROR(INDEX(Sheet3!$A$2:$A$30,MATCH(TRUE,ISNUMBER(SEARCH(Sheet3!$A$2:$A$30,D613)),0)),"")</f>
        <v/>
      </c>
    </row>
    <row r="614" spans="2:5" x14ac:dyDescent="0.3">
      <c r="B614" s="87" t="s">
        <v>775</v>
      </c>
      <c r="C614" s="88" t="s">
        <v>829</v>
      </c>
      <c r="D614" s="90" t="s">
        <v>832</v>
      </c>
      <c r="E614" t="str">
        <f>IFERROR(INDEX(Sheet3!$A$2:$A$30,MATCH(TRUE,ISNUMBER(SEARCH(Sheet3!$A$2:$A$30,D614)),0)),"")</f>
        <v/>
      </c>
    </row>
    <row r="615" spans="2:5" x14ac:dyDescent="0.3">
      <c r="B615" s="87" t="s">
        <v>776</v>
      </c>
      <c r="C615" s="88" t="s">
        <v>829</v>
      </c>
      <c r="D615" s="90" t="s">
        <v>37</v>
      </c>
      <c r="E615" t="str">
        <f>IFERROR(INDEX(Sheet3!$A$2:$A$30,MATCH(TRUE,ISNUMBER(SEARCH(Sheet3!$A$2:$A$30,D615)),0)),"")</f>
        <v/>
      </c>
    </row>
    <row r="616" spans="2:5" x14ac:dyDescent="0.3">
      <c r="B616" s="87" t="s">
        <v>777</v>
      </c>
      <c r="C616" s="88" t="s">
        <v>829</v>
      </c>
      <c r="D616" s="90" t="s">
        <v>110</v>
      </c>
      <c r="E616" t="str">
        <f>IFERROR(INDEX(Sheet3!$A$2:$A$30,MATCH(TRUE,ISNUMBER(SEARCH(Sheet3!$A$2:$A$30,D616)),0)),"")</f>
        <v/>
      </c>
    </row>
    <row r="617" spans="2:5" x14ac:dyDescent="0.3">
      <c r="B617" s="87" t="s">
        <v>778</v>
      </c>
      <c r="C617" s="88" t="s">
        <v>829</v>
      </c>
      <c r="D617" s="90" t="s">
        <v>98</v>
      </c>
      <c r="E617" t="str">
        <f>IFERROR(INDEX(Sheet3!$A$2:$A$30,MATCH(TRUE,ISNUMBER(SEARCH(Sheet3!$A$2:$A$30,D617)),0)),"")</f>
        <v/>
      </c>
    </row>
    <row r="618" spans="2:5" x14ac:dyDescent="0.3">
      <c r="B618" s="87" t="s">
        <v>779</v>
      </c>
      <c r="C618" s="88" t="s">
        <v>829</v>
      </c>
      <c r="D618" s="90" t="s">
        <v>832</v>
      </c>
      <c r="E618" t="str">
        <f>IFERROR(INDEX(Sheet3!$A$2:$A$30,MATCH(TRUE,ISNUMBER(SEARCH(Sheet3!$A$2:$A$30,D618)),0)),"")</f>
        <v/>
      </c>
    </row>
    <row r="619" spans="2:5" x14ac:dyDescent="0.3">
      <c r="B619" s="87" t="s">
        <v>780</v>
      </c>
      <c r="C619" s="88" t="s">
        <v>829</v>
      </c>
      <c r="D619" s="90" t="s">
        <v>837</v>
      </c>
      <c r="E619" t="str">
        <f>IFERROR(INDEX(Sheet3!$A$2:$A$30,MATCH(TRUE,ISNUMBER(SEARCH(Sheet3!$A$2:$A$30,D619)),0)),"")</f>
        <v/>
      </c>
    </row>
    <row r="620" spans="2:5" x14ac:dyDescent="0.3">
      <c r="B620" s="87" t="s">
        <v>781</v>
      </c>
      <c r="C620" s="88" t="s">
        <v>829</v>
      </c>
      <c r="D620" s="90" t="s">
        <v>29</v>
      </c>
      <c r="E620" t="str">
        <f>IFERROR(INDEX(Sheet3!$A$2:$A$30,MATCH(TRUE,ISNUMBER(SEARCH(Sheet3!$A$2:$A$30,D620)),0)),"")</f>
        <v/>
      </c>
    </row>
    <row r="621" spans="2:5" x14ac:dyDescent="0.3">
      <c r="B621" s="87" t="s">
        <v>782</v>
      </c>
      <c r="C621" s="88" t="s">
        <v>830</v>
      </c>
      <c r="D621" s="90" t="s">
        <v>835</v>
      </c>
      <c r="E621" t="str">
        <f>IFERROR(INDEX(Sheet3!$A$2:$A$30,MATCH(TRUE,ISNUMBER(SEARCH(Sheet3!$A$2:$A$30,D621)),0)),"")</f>
        <v/>
      </c>
    </row>
    <row r="622" spans="2:5" x14ac:dyDescent="0.3">
      <c r="B622" s="87" t="s">
        <v>783</v>
      </c>
      <c r="C622" s="88" t="s">
        <v>830</v>
      </c>
      <c r="D622" s="90" t="s">
        <v>837</v>
      </c>
      <c r="E622" t="str">
        <f>IFERROR(INDEX(Sheet3!$A$2:$A$30,MATCH(TRUE,ISNUMBER(SEARCH(Sheet3!$A$2:$A$30,D622)),0)),"")</f>
        <v/>
      </c>
    </row>
    <row r="623" spans="2:5" x14ac:dyDescent="0.3">
      <c r="B623" s="87" t="s">
        <v>784</v>
      </c>
      <c r="C623" s="88" t="s">
        <v>830</v>
      </c>
      <c r="D623" s="90" t="s">
        <v>37</v>
      </c>
      <c r="E623" t="str">
        <f>IFERROR(INDEX(Sheet3!$A$2:$A$30,MATCH(TRUE,ISNUMBER(SEARCH(Sheet3!$A$2:$A$30,D623)),0)),"")</f>
        <v/>
      </c>
    </row>
    <row r="624" spans="2:5" x14ac:dyDescent="0.3">
      <c r="B624" s="87" t="s">
        <v>785</v>
      </c>
      <c r="C624" s="88" t="s">
        <v>830</v>
      </c>
      <c r="D624" s="90" t="s">
        <v>97</v>
      </c>
      <c r="E624" t="str">
        <f>IFERROR(INDEX(Sheet3!$A$2:$A$30,MATCH(TRUE,ISNUMBER(SEARCH(Sheet3!$A$2:$A$30,D624)),0)),"")</f>
        <v/>
      </c>
    </row>
    <row r="625" spans="2:5" x14ac:dyDescent="0.3">
      <c r="B625" s="87" t="s">
        <v>786</v>
      </c>
      <c r="C625" s="88" t="s">
        <v>830</v>
      </c>
      <c r="D625" s="90" t="s">
        <v>96</v>
      </c>
      <c r="E625" t="str">
        <f>IFERROR(INDEX(Sheet3!$A$2:$A$30,MATCH(TRUE,ISNUMBER(SEARCH(Sheet3!$A$2:$A$30,D625)),0)),"")</f>
        <v/>
      </c>
    </row>
    <row r="626" spans="2:5" x14ac:dyDescent="0.3">
      <c r="B626" s="87" t="s">
        <v>787</v>
      </c>
      <c r="C626" s="88" t="s">
        <v>830</v>
      </c>
      <c r="D626" s="90" t="s">
        <v>832</v>
      </c>
      <c r="E626" t="str">
        <f>IFERROR(INDEX(Sheet3!$A$2:$A$30,MATCH(TRUE,ISNUMBER(SEARCH(Sheet3!$A$2:$A$30,D626)),0)),"")</f>
        <v/>
      </c>
    </row>
    <row r="627" spans="2:5" x14ac:dyDescent="0.3">
      <c r="B627" s="87" t="s">
        <v>788</v>
      </c>
      <c r="C627" s="88" t="s">
        <v>830</v>
      </c>
      <c r="D627" s="90" t="s">
        <v>37</v>
      </c>
      <c r="E627" t="str">
        <f>IFERROR(INDEX(Sheet3!$A$2:$A$30,MATCH(TRUE,ISNUMBER(SEARCH(Sheet3!$A$2:$A$30,D627)),0)),"")</f>
        <v/>
      </c>
    </row>
    <row r="628" spans="2:5" x14ac:dyDescent="0.3">
      <c r="B628" s="87" t="s">
        <v>789</v>
      </c>
      <c r="C628" s="88" t="s">
        <v>830</v>
      </c>
      <c r="D628" s="90" t="s">
        <v>841</v>
      </c>
      <c r="E628" t="str">
        <f>IFERROR(INDEX(Sheet3!$A$2:$A$30,MATCH(TRUE,ISNUMBER(SEARCH(Sheet3!$A$2:$A$30,D628)),0)),"")</f>
        <v/>
      </c>
    </row>
    <row r="629" spans="2:5" x14ac:dyDescent="0.3">
      <c r="B629" s="87" t="s">
        <v>790</v>
      </c>
      <c r="C629" s="88" t="s">
        <v>830</v>
      </c>
      <c r="D629" s="90" t="s">
        <v>837</v>
      </c>
      <c r="E629" t="str">
        <f>IFERROR(INDEX(Sheet3!$A$2:$A$30,MATCH(TRUE,ISNUMBER(SEARCH(Sheet3!$A$2:$A$30,D629)),0)),"")</f>
        <v/>
      </c>
    </row>
    <row r="630" spans="2:5" x14ac:dyDescent="0.3">
      <c r="B630" s="87" t="s">
        <v>791</v>
      </c>
      <c r="C630" s="88" t="s">
        <v>830</v>
      </c>
      <c r="D630" s="90" t="s">
        <v>838</v>
      </c>
      <c r="E630" t="str">
        <f>IFERROR(INDEX(Sheet3!$A$2:$A$30,MATCH(TRUE,ISNUMBER(SEARCH(Sheet3!$A$2:$A$30,D630)),0)),"")</f>
        <v/>
      </c>
    </row>
    <row r="631" spans="2:5" x14ac:dyDescent="0.3">
      <c r="B631" s="87" t="s">
        <v>792</v>
      </c>
      <c r="C631" s="88" t="s">
        <v>830</v>
      </c>
      <c r="D631" s="90" t="s">
        <v>97</v>
      </c>
      <c r="E631" t="str">
        <f>IFERROR(INDEX(Sheet3!$A$2:$A$30,MATCH(TRUE,ISNUMBER(SEARCH(Sheet3!$A$2:$A$30,D631)),0)),"")</f>
        <v/>
      </c>
    </row>
    <row r="632" spans="2:5" x14ac:dyDescent="0.3">
      <c r="B632" s="87" t="s">
        <v>793</v>
      </c>
      <c r="C632" s="88" t="s">
        <v>830</v>
      </c>
      <c r="D632" s="90" t="s">
        <v>835</v>
      </c>
      <c r="E632" t="str">
        <f>IFERROR(INDEX(Sheet3!$A$2:$A$30,MATCH(TRUE,ISNUMBER(SEARCH(Sheet3!$A$2:$A$30,D632)),0)),"")</f>
        <v/>
      </c>
    </row>
    <row r="633" spans="2:5" x14ac:dyDescent="0.3">
      <c r="B633" s="87" t="s">
        <v>794</v>
      </c>
      <c r="C633" s="88" t="s">
        <v>830</v>
      </c>
      <c r="D633" s="90" t="s">
        <v>99</v>
      </c>
      <c r="E633" t="str">
        <f>IFERROR(INDEX(Sheet3!$A$2:$A$30,MATCH(TRUE,ISNUMBER(SEARCH(Sheet3!$A$2:$A$30,D633)),0)),"")</f>
        <v/>
      </c>
    </row>
    <row r="634" spans="2:5" x14ac:dyDescent="0.3">
      <c r="B634" s="87" t="s">
        <v>795</v>
      </c>
      <c r="C634" s="88" t="s">
        <v>830</v>
      </c>
      <c r="D634" s="90" t="s">
        <v>3</v>
      </c>
      <c r="E634" t="str">
        <f>IFERROR(INDEX(Sheet3!$A$2:$A$30,MATCH(TRUE,ISNUMBER(SEARCH(Sheet3!$A$2:$A$30,D634)),0)),"")</f>
        <v/>
      </c>
    </row>
    <row r="635" spans="2:5" x14ac:dyDescent="0.3">
      <c r="B635" s="87" t="s">
        <v>796</v>
      </c>
      <c r="C635" s="88" t="s">
        <v>830</v>
      </c>
      <c r="D635" s="90" t="s">
        <v>835</v>
      </c>
      <c r="E635" t="str">
        <f>IFERROR(INDEX(Sheet3!$A$2:$A$30,MATCH(TRUE,ISNUMBER(SEARCH(Sheet3!$A$2:$A$30,D635)),0)),"")</f>
        <v/>
      </c>
    </row>
    <row r="636" spans="2:5" x14ac:dyDescent="0.3">
      <c r="B636" s="87" t="s">
        <v>797</v>
      </c>
      <c r="C636" s="88" t="s">
        <v>830</v>
      </c>
      <c r="D636" s="90" t="s">
        <v>98</v>
      </c>
      <c r="E636" t="str">
        <f>IFERROR(INDEX(Sheet3!$A$2:$A$30,MATCH(TRUE,ISNUMBER(SEARCH(Sheet3!$A$2:$A$30,D636)),0)),"")</f>
        <v/>
      </c>
    </row>
    <row r="637" spans="2:5" x14ac:dyDescent="0.3">
      <c r="B637" s="87" t="s">
        <v>798</v>
      </c>
      <c r="C637" s="88" t="s">
        <v>830</v>
      </c>
      <c r="D637" s="90" t="s">
        <v>837</v>
      </c>
      <c r="E637" t="str">
        <f>IFERROR(INDEX(Sheet3!$A$2:$A$30,MATCH(TRUE,ISNUMBER(SEARCH(Sheet3!$A$2:$A$30,D637)),0)),"")</f>
        <v/>
      </c>
    </row>
    <row r="638" spans="2:5" x14ac:dyDescent="0.3">
      <c r="B638" s="87" t="s">
        <v>799</v>
      </c>
      <c r="C638" s="88" t="s">
        <v>830</v>
      </c>
      <c r="D638" s="90" t="s">
        <v>99</v>
      </c>
      <c r="E638" t="str">
        <f>IFERROR(INDEX(Sheet3!$A$2:$A$30,MATCH(TRUE,ISNUMBER(SEARCH(Sheet3!$A$2:$A$30,D638)),0)),"")</f>
        <v/>
      </c>
    </row>
    <row r="639" spans="2:5" x14ac:dyDescent="0.3">
      <c r="B639" s="87" t="s">
        <v>800</v>
      </c>
      <c r="C639" s="88" t="s">
        <v>830</v>
      </c>
      <c r="D639" s="90" t="s">
        <v>835</v>
      </c>
      <c r="E639" t="str">
        <f>IFERROR(INDEX(Sheet3!$A$2:$A$30,MATCH(TRUE,ISNUMBER(SEARCH(Sheet3!$A$2:$A$30,D639)),0)),"")</f>
        <v/>
      </c>
    </row>
    <row r="640" spans="2:5" x14ac:dyDescent="0.3">
      <c r="B640" s="87" t="s">
        <v>777</v>
      </c>
      <c r="C640" s="88" t="s">
        <v>830</v>
      </c>
      <c r="D640" s="90" t="s">
        <v>101</v>
      </c>
      <c r="E640" t="str">
        <f>IFERROR(INDEX(Sheet3!$A$2:$A$30,MATCH(TRUE,ISNUMBER(SEARCH(Sheet3!$A$2:$A$30,D640)),0)),"")</f>
        <v/>
      </c>
    </row>
    <row r="641" spans="2:5" x14ac:dyDescent="0.3">
      <c r="B641" s="87" t="s">
        <v>801</v>
      </c>
      <c r="C641" s="88" t="s">
        <v>830</v>
      </c>
      <c r="D641" s="90" t="s">
        <v>96</v>
      </c>
      <c r="E641" t="str">
        <f>IFERROR(INDEX(Sheet3!$A$2:$A$30,MATCH(TRUE,ISNUMBER(SEARCH(Sheet3!$A$2:$A$30,D641)),0)),"")</f>
        <v/>
      </c>
    </row>
    <row r="642" spans="2:5" x14ac:dyDescent="0.3">
      <c r="B642" s="87" t="s">
        <v>802</v>
      </c>
      <c r="C642" s="88" t="s">
        <v>830</v>
      </c>
      <c r="D642" s="90" t="s">
        <v>98</v>
      </c>
      <c r="E642" t="str">
        <f>IFERROR(INDEX(Sheet3!$A$2:$A$30,MATCH(TRUE,ISNUMBER(SEARCH(Sheet3!$A$2:$A$30,D642)),0)),"")</f>
        <v/>
      </c>
    </row>
    <row r="643" spans="2:5" x14ac:dyDescent="0.3">
      <c r="B643" s="87" t="s">
        <v>803</v>
      </c>
      <c r="C643" s="88" t="s">
        <v>830</v>
      </c>
      <c r="D643" s="90" t="s">
        <v>80</v>
      </c>
      <c r="E643" t="str">
        <f>IFERROR(INDEX(Sheet3!$A$2:$A$30,MATCH(TRUE,ISNUMBER(SEARCH(Sheet3!$A$2:$A$30,D643)),0)),"")</f>
        <v/>
      </c>
    </row>
    <row r="644" spans="2:5" x14ac:dyDescent="0.3">
      <c r="B644" s="87" t="s">
        <v>804</v>
      </c>
      <c r="C644" s="88" t="s">
        <v>830</v>
      </c>
      <c r="D644" s="90" t="s">
        <v>841</v>
      </c>
      <c r="E644" t="str">
        <f>IFERROR(INDEX(Sheet3!$A$2:$A$30,MATCH(TRUE,ISNUMBER(SEARCH(Sheet3!$A$2:$A$30,D644)),0)),"")</f>
        <v/>
      </c>
    </row>
    <row r="645" spans="2:5" x14ac:dyDescent="0.3">
      <c r="B645" s="87" t="s">
        <v>805</v>
      </c>
      <c r="C645" s="88" t="s">
        <v>830</v>
      </c>
      <c r="D645" s="90" t="s">
        <v>97</v>
      </c>
      <c r="E645" t="str">
        <f>IFERROR(INDEX(Sheet3!$A$2:$A$30,MATCH(TRUE,ISNUMBER(SEARCH(Sheet3!$A$2:$A$30,D645)),0)),"")</f>
        <v/>
      </c>
    </row>
    <row r="646" spans="2:5" x14ac:dyDescent="0.3">
      <c r="B646" s="87" t="s">
        <v>806</v>
      </c>
      <c r="C646" s="88" t="s">
        <v>830</v>
      </c>
      <c r="D646" t="s">
        <v>837</v>
      </c>
      <c r="E646" t="str">
        <f>IFERROR(INDEX(Sheet3!$A$2:$A$30,MATCH(TRUE,ISNUMBER(SEARCH(Sheet3!$A$2:$A$30,D646)),0)),"")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bang ho tro tien xe</vt:lpstr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VD</cp:lastModifiedBy>
  <dcterms:created xsi:type="dcterms:W3CDTF">2026-01-29T12:38:38Z</dcterms:created>
  <dcterms:modified xsi:type="dcterms:W3CDTF">2026-02-03T02:26:42Z</dcterms:modified>
</cp:coreProperties>
</file>